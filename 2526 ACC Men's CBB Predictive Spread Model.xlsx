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jreed2006/Downloads/Excel/"/>
    </mc:Choice>
  </mc:AlternateContent>
  <xr:revisionPtr revIDLastSave="0" documentId="8_{33FF5D4F-5CB7-9244-B9BE-B7D06FECC798}" xr6:coauthVersionLast="47" xr6:coauthVersionMax="47" xr10:uidLastSave="{00000000-0000-0000-0000-000000000000}"/>
  <bookViews>
    <workbookView xWindow="1900" yWindow="680" windowWidth="27500" windowHeight="16900" xr2:uid="{00000000-000D-0000-FFFF-FFFF00000000}"/>
  </bookViews>
  <sheets>
    <sheet name="Final Predictions" sheetId="1" r:id="rId1"/>
    <sheet name="Parameters" sheetId="3" r:id="rId2"/>
    <sheet name="BC" sheetId="7" r:id="rId3"/>
    <sheet name="Cal" sheetId="8" r:id="rId4"/>
    <sheet name="Clemson" sheetId="9" r:id="rId5"/>
    <sheet name="Duke" sheetId="10" r:id="rId6"/>
    <sheet name="FSU" sheetId="11" r:id="rId7"/>
    <sheet name="GT" sheetId="12" r:id="rId8"/>
    <sheet name="Louisville" sheetId="13" r:id="rId9"/>
    <sheet name="Miami" sheetId="14" r:id="rId10"/>
    <sheet name="UNC" sheetId="4" r:id="rId11"/>
    <sheet name="NC State" sheetId="15" r:id="rId12"/>
    <sheet name="Notre Dame" sheetId="5" r:id="rId13"/>
    <sheet name="Pitt" sheetId="16" r:id="rId14"/>
    <sheet name="SMU" sheetId="17" r:id="rId15"/>
    <sheet name="Stanford" sheetId="18" r:id="rId16"/>
    <sheet name="Syracuse" sheetId="19" r:id="rId17"/>
    <sheet name="Virginia" sheetId="20" r:id="rId18"/>
    <sheet name="VT" sheetId="21" r:id="rId19"/>
    <sheet name="Wake" sheetId="22" r:id="rId20"/>
    <sheet name="Baylor" sheetId="23" r:id="rId21"/>
    <sheet name="OSU" sheetId="24" r:id="rId22"/>
    <sheet name="UMich" sheetId="29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77" i="1"/>
  <c r="E75" i="1"/>
  <c r="E74" i="1"/>
  <c r="E73" i="1"/>
  <c r="E71" i="1"/>
  <c r="E70" i="1"/>
  <c r="E69" i="1"/>
  <c r="E68" i="1"/>
  <c r="E67" i="1"/>
  <c r="E66" i="1"/>
  <c r="E64" i="1"/>
  <c r="E62" i="1"/>
  <c r="E61" i="1"/>
  <c r="E60" i="1"/>
  <c r="E59" i="1"/>
  <c r="E58" i="1"/>
  <c r="E55" i="1"/>
  <c r="F54" i="1"/>
  <c r="E54" i="1"/>
  <c r="E52" i="1"/>
  <c r="E51" i="1"/>
  <c r="E50" i="1"/>
  <c r="E49" i="1"/>
  <c r="F47" i="1"/>
  <c r="E47" i="1"/>
  <c r="D15" i="1"/>
  <c r="C25" i="22"/>
  <c r="P19" i="22" s="1"/>
  <c r="R19" i="22" s="1"/>
  <c r="C25" i="21"/>
  <c r="P19" i="21" s="1"/>
  <c r="R19" i="21" s="1"/>
  <c r="C25" i="20"/>
  <c r="P18" i="20" s="1"/>
  <c r="K13" i="19"/>
  <c r="J13" i="19"/>
  <c r="I13" i="19"/>
  <c r="H13" i="19"/>
  <c r="C25" i="19"/>
  <c r="P18" i="19" s="1"/>
  <c r="Q18" i="19" s="1"/>
  <c r="C25" i="18"/>
  <c r="P19" i="18" s="1"/>
  <c r="R19" i="18" s="1"/>
  <c r="C25" i="17"/>
  <c r="P19" i="17" s="1"/>
  <c r="C25" i="16"/>
  <c r="P19" i="16" s="1"/>
  <c r="R19" i="16" s="1"/>
  <c r="C25" i="5"/>
  <c r="P19" i="5" s="1"/>
  <c r="R19" i="5" s="1"/>
  <c r="C25" i="15"/>
  <c r="P19" i="15" s="1"/>
  <c r="R19" i="15" s="1"/>
  <c r="C25" i="4"/>
  <c r="P19" i="4" s="1"/>
  <c r="R19" i="4" s="1"/>
  <c r="C25" i="14"/>
  <c r="P18" i="14" s="1"/>
  <c r="C25" i="13"/>
  <c r="P20" i="13" s="1"/>
  <c r="R20" i="13" s="1"/>
  <c r="C25" i="12"/>
  <c r="P19" i="12" s="1"/>
  <c r="Q19" i="12" s="1"/>
  <c r="C25" i="11"/>
  <c r="P19" i="11" s="1"/>
  <c r="Q19" i="11" s="1"/>
  <c r="C25" i="10"/>
  <c r="P20" i="10" s="1"/>
  <c r="R20" i="10" s="1"/>
  <c r="K15" i="8"/>
  <c r="J15" i="8"/>
  <c r="I15" i="8"/>
  <c r="H15" i="8"/>
  <c r="C25" i="9"/>
  <c r="P18" i="9" s="1"/>
  <c r="C25" i="8"/>
  <c r="P18" i="8" s="1"/>
  <c r="C25" i="7"/>
  <c r="P19" i="7" s="1"/>
  <c r="C24" i="7"/>
  <c r="I7" i="24"/>
  <c r="H7" i="24"/>
  <c r="G7" i="24"/>
  <c r="F7" i="24"/>
  <c r="T7" i="22"/>
  <c r="V15" i="22"/>
  <c r="U15" i="22"/>
  <c r="V14" i="22"/>
  <c r="U14" i="22"/>
  <c r="V13" i="22"/>
  <c r="U13" i="22"/>
  <c r="V12" i="22"/>
  <c r="U12" i="22"/>
  <c r="V11" i="22"/>
  <c r="U11" i="22"/>
  <c r="V10" i="22"/>
  <c r="U10" i="22"/>
  <c r="V9" i="22"/>
  <c r="U9" i="22"/>
  <c r="V8" i="22"/>
  <c r="U8" i="22"/>
  <c r="V7" i="22"/>
  <c r="U7" i="22"/>
  <c r="V6" i="22"/>
  <c r="U6" i="22"/>
  <c r="V5" i="22"/>
  <c r="U5" i="22"/>
  <c r="V4" i="22"/>
  <c r="U4" i="22"/>
  <c r="V3" i="22"/>
  <c r="U3" i="22"/>
  <c r="V2" i="22"/>
  <c r="U2" i="22"/>
  <c r="V16" i="21"/>
  <c r="U16" i="21"/>
  <c r="V15" i="21"/>
  <c r="U15" i="21"/>
  <c r="V14" i="21"/>
  <c r="U14" i="21"/>
  <c r="V13" i="21"/>
  <c r="U13" i="21"/>
  <c r="V12" i="21"/>
  <c r="U12" i="21"/>
  <c r="V11" i="21"/>
  <c r="U11" i="21"/>
  <c r="V10" i="21"/>
  <c r="U10" i="21"/>
  <c r="V9" i="21"/>
  <c r="U9" i="21"/>
  <c r="V8" i="21"/>
  <c r="U8" i="21"/>
  <c r="V7" i="21"/>
  <c r="U7" i="21"/>
  <c r="V6" i="21"/>
  <c r="U6" i="21"/>
  <c r="V5" i="21"/>
  <c r="U5" i="21"/>
  <c r="V4" i="21"/>
  <c r="U4" i="21"/>
  <c r="V3" i="21"/>
  <c r="U3" i="21"/>
  <c r="V2" i="21"/>
  <c r="U2" i="21"/>
  <c r="V16" i="20"/>
  <c r="U16" i="20"/>
  <c r="V15" i="20"/>
  <c r="U15" i="20"/>
  <c r="V13" i="20"/>
  <c r="U13" i="20"/>
  <c r="V12" i="20"/>
  <c r="U12" i="20"/>
  <c r="V11" i="20"/>
  <c r="U11" i="20"/>
  <c r="V10" i="20"/>
  <c r="U10" i="20"/>
  <c r="V9" i="20"/>
  <c r="U9" i="20"/>
  <c r="V8" i="20"/>
  <c r="U8" i="20"/>
  <c r="V7" i="20"/>
  <c r="U7" i="20"/>
  <c r="V6" i="20"/>
  <c r="U6" i="20"/>
  <c r="V5" i="20"/>
  <c r="U5" i="20"/>
  <c r="V4" i="20"/>
  <c r="U4" i="20"/>
  <c r="V3" i="20"/>
  <c r="U3" i="20"/>
  <c r="V2" i="20"/>
  <c r="U2" i="20"/>
  <c r="V16" i="19"/>
  <c r="U16" i="19"/>
  <c r="V15" i="19"/>
  <c r="U15" i="19"/>
  <c r="V14" i="19"/>
  <c r="U14" i="19"/>
  <c r="V13" i="19"/>
  <c r="U13" i="19"/>
  <c r="V12" i="19"/>
  <c r="U12" i="19"/>
  <c r="V11" i="19"/>
  <c r="U11" i="19"/>
  <c r="V10" i="19"/>
  <c r="U10" i="19"/>
  <c r="V9" i="19"/>
  <c r="U9" i="19"/>
  <c r="V8" i="19"/>
  <c r="U8" i="19"/>
  <c r="V7" i="19"/>
  <c r="U7" i="19"/>
  <c r="V6" i="19"/>
  <c r="U6" i="19"/>
  <c r="V5" i="19"/>
  <c r="U5" i="19"/>
  <c r="V4" i="19"/>
  <c r="U4" i="19"/>
  <c r="V3" i="19"/>
  <c r="U3" i="19"/>
  <c r="V2" i="19"/>
  <c r="U2" i="19"/>
  <c r="V15" i="18"/>
  <c r="U15" i="18"/>
  <c r="V14" i="18"/>
  <c r="U14" i="18"/>
  <c r="V13" i="18"/>
  <c r="U13" i="18"/>
  <c r="V12" i="18"/>
  <c r="U12" i="18"/>
  <c r="V11" i="18"/>
  <c r="U11" i="18"/>
  <c r="V10" i="18"/>
  <c r="U10" i="18"/>
  <c r="V9" i="18"/>
  <c r="U9" i="18"/>
  <c r="V8" i="18"/>
  <c r="U8" i="18"/>
  <c r="V7" i="18"/>
  <c r="U7" i="18"/>
  <c r="V6" i="18"/>
  <c r="U6" i="18"/>
  <c r="V5" i="18"/>
  <c r="U5" i="18"/>
  <c r="V4" i="18"/>
  <c r="U4" i="18"/>
  <c r="V3" i="18"/>
  <c r="U3" i="18"/>
  <c r="V2" i="18"/>
  <c r="U2" i="18"/>
  <c r="V15" i="17"/>
  <c r="U15" i="17"/>
  <c r="V14" i="17"/>
  <c r="U14" i="17"/>
  <c r="V13" i="17"/>
  <c r="U13" i="17"/>
  <c r="V12" i="17"/>
  <c r="U12" i="17"/>
  <c r="V11" i="17"/>
  <c r="U11" i="17"/>
  <c r="V10" i="17"/>
  <c r="U10" i="17"/>
  <c r="V9" i="17"/>
  <c r="U9" i="17"/>
  <c r="V8" i="17"/>
  <c r="U8" i="17"/>
  <c r="V7" i="17"/>
  <c r="U7" i="17"/>
  <c r="V6" i="17"/>
  <c r="U6" i="17"/>
  <c r="V5" i="17"/>
  <c r="U5" i="17"/>
  <c r="V4" i="17"/>
  <c r="U4" i="17"/>
  <c r="V3" i="17"/>
  <c r="U3" i="17"/>
  <c r="V2" i="17"/>
  <c r="U2" i="17"/>
  <c r="V15" i="16"/>
  <c r="U15" i="16"/>
  <c r="V14" i="16"/>
  <c r="U14" i="16"/>
  <c r="V13" i="16"/>
  <c r="U13" i="16"/>
  <c r="V12" i="16"/>
  <c r="U12" i="16"/>
  <c r="V11" i="16"/>
  <c r="U11" i="16"/>
  <c r="V10" i="16"/>
  <c r="U10" i="16"/>
  <c r="V9" i="16"/>
  <c r="U9" i="16"/>
  <c r="V8" i="16"/>
  <c r="U8" i="16"/>
  <c r="V7" i="16"/>
  <c r="U7" i="16"/>
  <c r="V6" i="16"/>
  <c r="U6" i="16"/>
  <c r="V5" i="16"/>
  <c r="U5" i="16"/>
  <c r="V4" i="16"/>
  <c r="U4" i="16"/>
  <c r="V3" i="16"/>
  <c r="U3" i="16"/>
  <c r="V2" i="16"/>
  <c r="U2" i="16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V3" i="5"/>
  <c r="U3" i="5"/>
  <c r="V2" i="5"/>
  <c r="U2" i="5"/>
  <c r="V16" i="4"/>
  <c r="U16" i="4"/>
  <c r="V15" i="4"/>
  <c r="U15" i="4"/>
  <c r="V14" i="4"/>
  <c r="U14" i="4"/>
  <c r="V13" i="4"/>
  <c r="U13" i="4"/>
  <c r="V12" i="4"/>
  <c r="U12" i="4"/>
  <c r="V11" i="4"/>
  <c r="U11" i="4"/>
  <c r="V10" i="4"/>
  <c r="U10" i="4"/>
  <c r="V9" i="4"/>
  <c r="U9" i="4"/>
  <c r="V8" i="4"/>
  <c r="U8" i="4"/>
  <c r="V7" i="4"/>
  <c r="U7" i="4"/>
  <c r="V6" i="4"/>
  <c r="U6" i="4"/>
  <c r="V5" i="4"/>
  <c r="U5" i="4"/>
  <c r="V4" i="4"/>
  <c r="U4" i="4"/>
  <c r="V3" i="4"/>
  <c r="U3" i="4"/>
  <c r="V2" i="4"/>
  <c r="U2" i="4"/>
  <c r="V15" i="14"/>
  <c r="U15" i="14"/>
  <c r="V14" i="14"/>
  <c r="U14" i="14"/>
  <c r="V13" i="14"/>
  <c r="U13" i="14"/>
  <c r="V12" i="14"/>
  <c r="U12" i="14"/>
  <c r="V11" i="14"/>
  <c r="U11" i="14"/>
  <c r="V10" i="14"/>
  <c r="U10" i="14"/>
  <c r="V9" i="14"/>
  <c r="U9" i="14"/>
  <c r="V8" i="14"/>
  <c r="U8" i="14"/>
  <c r="V7" i="14"/>
  <c r="U7" i="14"/>
  <c r="V6" i="14"/>
  <c r="U6" i="14"/>
  <c r="V5" i="14"/>
  <c r="U5" i="14"/>
  <c r="V4" i="14"/>
  <c r="U4" i="14"/>
  <c r="V3" i="14"/>
  <c r="U3" i="14"/>
  <c r="V2" i="14"/>
  <c r="U2" i="14"/>
  <c r="V17" i="13"/>
  <c r="U17" i="13"/>
  <c r="V16" i="13"/>
  <c r="U16" i="13"/>
  <c r="V15" i="13"/>
  <c r="U15" i="13"/>
  <c r="V14" i="13"/>
  <c r="U14" i="13"/>
  <c r="V13" i="13"/>
  <c r="U13" i="13"/>
  <c r="V12" i="13"/>
  <c r="U12" i="13"/>
  <c r="V11" i="13"/>
  <c r="U11" i="13"/>
  <c r="V10" i="13"/>
  <c r="U10" i="13"/>
  <c r="V9" i="13"/>
  <c r="U9" i="13"/>
  <c r="V8" i="13"/>
  <c r="U8" i="13"/>
  <c r="V7" i="13"/>
  <c r="U7" i="13"/>
  <c r="V6" i="13"/>
  <c r="U6" i="13"/>
  <c r="V5" i="13"/>
  <c r="U5" i="13"/>
  <c r="V4" i="13"/>
  <c r="U4" i="13"/>
  <c r="V3" i="13"/>
  <c r="U3" i="13"/>
  <c r="V2" i="13"/>
  <c r="U2" i="13"/>
  <c r="V16" i="12"/>
  <c r="U16" i="12"/>
  <c r="V15" i="12"/>
  <c r="U15" i="12"/>
  <c r="V14" i="12"/>
  <c r="U14" i="12"/>
  <c r="V13" i="12"/>
  <c r="U13" i="12"/>
  <c r="V12" i="12"/>
  <c r="U12" i="12"/>
  <c r="V11" i="12"/>
  <c r="U11" i="12"/>
  <c r="V10" i="12"/>
  <c r="U10" i="12"/>
  <c r="V9" i="12"/>
  <c r="U9" i="12"/>
  <c r="V8" i="12"/>
  <c r="U8" i="12"/>
  <c r="V7" i="12"/>
  <c r="U7" i="12"/>
  <c r="V6" i="12"/>
  <c r="U6" i="12"/>
  <c r="V5" i="12"/>
  <c r="U5" i="12"/>
  <c r="V4" i="12"/>
  <c r="U4" i="12"/>
  <c r="V3" i="12"/>
  <c r="U3" i="12"/>
  <c r="V2" i="12"/>
  <c r="U2" i="12"/>
  <c r="V15" i="11"/>
  <c r="U15" i="11"/>
  <c r="V14" i="11"/>
  <c r="U14" i="11"/>
  <c r="V13" i="11"/>
  <c r="U13" i="11"/>
  <c r="V12" i="11"/>
  <c r="U12" i="11"/>
  <c r="V11" i="11"/>
  <c r="U11" i="11"/>
  <c r="V10" i="11"/>
  <c r="U10" i="11"/>
  <c r="V9" i="11"/>
  <c r="U9" i="11"/>
  <c r="V8" i="11"/>
  <c r="U8" i="11"/>
  <c r="V7" i="11"/>
  <c r="U7" i="11"/>
  <c r="V6" i="11"/>
  <c r="U6" i="11"/>
  <c r="V5" i="11"/>
  <c r="U5" i="11"/>
  <c r="V4" i="11"/>
  <c r="U4" i="11"/>
  <c r="V3" i="11"/>
  <c r="U3" i="11"/>
  <c r="V2" i="11"/>
  <c r="U2" i="11"/>
  <c r="V15" i="10"/>
  <c r="U15" i="10"/>
  <c r="V14" i="10"/>
  <c r="U14" i="10"/>
  <c r="V13" i="10"/>
  <c r="U13" i="10"/>
  <c r="V12" i="10"/>
  <c r="U12" i="10"/>
  <c r="V11" i="10"/>
  <c r="U11" i="10"/>
  <c r="V10" i="10"/>
  <c r="U10" i="10"/>
  <c r="V9" i="10"/>
  <c r="U9" i="10"/>
  <c r="V8" i="10"/>
  <c r="U8" i="10"/>
  <c r="V7" i="10"/>
  <c r="U7" i="10"/>
  <c r="V6" i="10"/>
  <c r="U6" i="10"/>
  <c r="V5" i="10"/>
  <c r="U5" i="10"/>
  <c r="V4" i="10"/>
  <c r="U4" i="10"/>
  <c r="V3" i="10"/>
  <c r="U3" i="10"/>
  <c r="V2" i="10"/>
  <c r="U2" i="10"/>
  <c r="V16" i="9"/>
  <c r="U16" i="9"/>
  <c r="V15" i="9"/>
  <c r="U15" i="9"/>
  <c r="V14" i="9"/>
  <c r="U14" i="9"/>
  <c r="V13" i="9"/>
  <c r="U13" i="9"/>
  <c r="V12" i="9"/>
  <c r="U12" i="9"/>
  <c r="V11" i="9"/>
  <c r="U11" i="9"/>
  <c r="V10" i="9"/>
  <c r="U10" i="9"/>
  <c r="V9" i="9"/>
  <c r="U9" i="9"/>
  <c r="V8" i="9"/>
  <c r="U8" i="9"/>
  <c r="V7" i="9"/>
  <c r="U7" i="9"/>
  <c r="V6" i="9"/>
  <c r="U6" i="9"/>
  <c r="V5" i="9"/>
  <c r="U5" i="9"/>
  <c r="V4" i="9"/>
  <c r="U4" i="9"/>
  <c r="V3" i="9"/>
  <c r="U3" i="9"/>
  <c r="V2" i="9"/>
  <c r="U2" i="9"/>
  <c r="V15" i="8"/>
  <c r="U15" i="8"/>
  <c r="V14" i="8"/>
  <c r="U14" i="8"/>
  <c r="V13" i="8"/>
  <c r="U13" i="8"/>
  <c r="V12" i="8"/>
  <c r="U12" i="8"/>
  <c r="V11" i="8"/>
  <c r="U11" i="8"/>
  <c r="V10" i="8"/>
  <c r="U10" i="8"/>
  <c r="V9" i="8"/>
  <c r="U9" i="8"/>
  <c r="V8" i="8"/>
  <c r="U8" i="8"/>
  <c r="V7" i="8"/>
  <c r="U7" i="8"/>
  <c r="V6" i="8"/>
  <c r="U6" i="8"/>
  <c r="V5" i="8"/>
  <c r="U5" i="8"/>
  <c r="V4" i="8"/>
  <c r="U4" i="8"/>
  <c r="V3" i="8"/>
  <c r="U3" i="8"/>
  <c r="V2" i="8"/>
  <c r="U2" i="8"/>
  <c r="S2" i="4"/>
  <c r="C16" i="23"/>
  <c r="P14" i="13"/>
  <c r="Q14" i="13" s="1"/>
  <c r="P2" i="5"/>
  <c r="P6" i="4"/>
  <c r="B8" i="3"/>
  <c r="B33" i="20"/>
  <c r="B33" i="13"/>
  <c r="B31" i="13"/>
  <c r="B33" i="10"/>
  <c r="B31" i="10"/>
  <c r="C16" i="29"/>
  <c r="C16" i="24"/>
  <c r="T5" i="22"/>
  <c r="T3" i="22"/>
  <c r="T2" i="22"/>
  <c r="T10" i="22"/>
  <c r="T9" i="22"/>
  <c r="T8" i="22"/>
  <c r="T6" i="22"/>
  <c r="T4" i="22"/>
  <c r="C24" i="22"/>
  <c r="P13" i="22" s="1"/>
  <c r="T11" i="21"/>
  <c r="T8" i="21"/>
  <c r="T4" i="21"/>
  <c r="T2" i="21"/>
  <c r="T3" i="21"/>
  <c r="T5" i="21"/>
  <c r="T6" i="21"/>
  <c r="T7" i="21"/>
  <c r="T9" i="21"/>
  <c r="T10" i="21"/>
  <c r="C24" i="21"/>
  <c r="P8" i="21" s="1"/>
  <c r="T10" i="20"/>
  <c r="T6" i="20"/>
  <c r="T2" i="20"/>
  <c r="T3" i="20"/>
  <c r="T4" i="20"/>
  <c r="T5" i="20"/>
  <c r="T7" i="20"/>
  <c r="T8" i="20"/>
  <c r="T9" i="20"/>
  <c r="T11" i="20"/>
  <c r="C24" i="20"/>
  <c r="P13" i="20" s="1"/>
  <c r="R13" i="20" s="1"/>
  <c r="T11" i="19"/>
  <c r="T10" i="19"/>
  <c r="T6" i="19"/>
  <c r="T5" i="19"/>
  <c r="T3" i="19"/>
  <c r="T2" i="19"/>
  <c r="P15" i="19"/>
  <c r="Q15" i="19" s="1"/>
  <c r="P13" i="19"/>
  <c r="Q13" i="19" s="1"/>
  <c r="P12" i="19"/>
  <c r="Q12" i="19" s="1"/>
  <c r="T9" i="19"/>
  <c r="T8" i="19"/>
  <c r="T7" i="19"/>
  <c r="T4" i="19"/>
  <c r="C24" i="19"/>
  <c r="T10" i="18"/>
  <c r="T7" i="18"/>
  <c r="T5" i="18"/>
  <c r="T3" i="18"/>
  <c r="T11" i="18"/>
  <c r="T9" i="18"/>
  <c r="T8" i="18"/>
  <c r="T6" i="18"/>
  <c r="T4" i="18"/>
  <c r="T2" i="18"/>
  <c r="C24" i="18"/>
  <c r="P11" i="18" s="1"/>
  <c r="R11" i="18" s="1"/>
  <c r="T10" i="17"/>
  <c r="T9" i="17"/>
  <c r="T6" i="17"/>
  <c r="T5" i="17"/>
  <c r="T4" i="17"/>
  <c r="T3" i="17"/>
  <c r="T2" i="17"/>
  <c r="T8" i="17"/>
  <c r="T7" i="17"/>
  <c r="C24" i="17"/>
  <c r="P13" i="17" s="1"/>
  <c r="R13" i="17" s="1"/>
  <c r="T6" i="16"/>
  <c r="T5" i="16"/>
  <c r="T3" i="16"/>
  <c r="T2" i="16"/>
  <c r="T11" i="16"/>
  <c r="T10" i="16"/>
  <c r="T9" i="16"/>
  <c r="T8" i="16"/>
  <c r="T7" i="16"/>
  <c r="T4" i="16"/>
  <c r="C24" i="16"/>
  <c r="P12" i="16" s="1"/>
  <c r="T8" i="5"/>
  <c r="T6" i="5"/>
  <c r="T5" i="5"/>
  <c r="T4" i="5"/>
  <c r="T3" i="5"/>
  <c r="T2" i="5"/>
  <c r="T11" i="5"/>
  <c r="T10" i="5"/>
  <c r="T9" i="5"/>
  <c r="T7" i="5"/>
  <c r="C24" i="5"/>
  <c r="P14" i="5" s="1"/>
  <c r="T10" i="15"/>
  <c r="T9" i="15"/>
  <c r="T7" i="15"/>
  <c r="T6" i="15"/>
  <c r="T4" i="15"/>
  <c r="T3" i="15"/>
  <c r="T11" i="15"/>
  <c r="P10" i="15"/>
  <c r="R10" i="15" s="1"/>
  <c r="T8" i="15"/>
  <c r="T5" i="15"/>
  <c r="T2" i="15"/>
  <c r="C24" i="15"/>
  <c r="P13" i="15" s="1"/>
  <c r="T9" i="14"/>
  <c r="T8" i="14"/>
  <c r="T7" i="14"/>
  <c r="T6" i="14"/>
  <c r="T3" i="14"/>
  <c r="T2" i="14"/>
  <c r="T10" i="14"/>
  <c r="T5" i="14"/>
  <c r="T4" i="14"/>
  <c r="C24" i="14"/>
  <c r="T10" i="13"/>
  <c r="T9" i="13"/>
  <c r="T6" i="13"/>
  <c r="T4" i="13"/>
  <c r="T2" i="13"/>
  <c r="T11" i="13"/>
  <c r="T8" i="13"/>
  <c r="T7" i="13"/>
  <c r="T5" i="13"/>
  <c r="T3" i="13"/>
  <c r="C24" i="13"/>
  <c r="P17" i="13" s="1"/>
  <c r="R17" i="13" s="1"/>
  <c r="T11" i="12"/>
  <c r="T10" i="12"/>
  <c r="T9" i="12"/>
  <c r="T8" i="12"/>
  <c r="T7" i="12"/>
  <c r="T4" i="12"/>
  <c r="T2" i="12"/>
  <c r="T6" i="12"/>
  <c r="T5" i="12"/>
  <c r="T3" i="12"/>
  <c r="C24" i="12"/>
  <c r="P14" i="12" s="1"/>
  <c r="T10" i="11"/>
  <c r="T7" i="11"/>
  <c r="T4" i="11"/>
  <c r="T2" i="11"/>
  <c r="T9" i="11"/>
  <c r="T8" i="11"/>
  <c r="T6" i="11"/>
  <c r="T5" i="11"/>
  <c r="T3" i="11"/>
  <c r="C24" i="11"/>
  <c r="T2" i="10"/>
  <c r="T7" i="10"/>
  <c r="T11" i="10"/>
  <c r="T10" i="10"/>
  <c r="T9" i="10"/>
  <c r="T6" i="10"/>
  <c r="T5" i="10"/>
  <c r="T4" i="10"/>
  <c r="T3" i="10"/>
  <c r="T8" i="10"/>
  <c r="C24" i="10"/>
  <c r="T11" i="8"/>
  <c r="T11" i="9"/>
  <c r="T10" i="9"/>
  <c r="T8" i="9"/>
  <c r="T4" i="9"/>
  <c r="T3" i="9"/>
  <c r="T2" i="9"/>
  <c r="T9" i="9"/>
  <c r="T7" i="9"/>
  <c r="T6" i="9"/>
  <c r="T5" i="9"/>
  <c r="C24" i="9"/>
  <c r="P14" i="9" s="1"/>
  <c r="R14" i="9" s="1"/>
  <c r="T9" i="8"/>
  <c r="T2" i="8"/>
  <c r="T10" i="8"/>
  <c r="T8" i="8"/>
  <c r="T7" i="8"/>
  <c r="T6" i="8"/>
  <c r="T5" i="8"/>
  <c r="T4" i="8"/>
  <c r="T3" i="8"/>
  <c r="C24" i="8"/>
  <c r="P11" i="8" s="1"/>
  <c r="T10" i="7"/>
  <c r="T9" i="7"/>
  <c r="T8" i="7"/>
  <c r="T7" i="7"/>
  <c r="T6" i="7"/>
  <c r="T4" i="7"/>
  <c r="T3" i="7"/>
  <c r="T2" i="7"/>
  <c r="T5" i="7"/>
  <c r="T3" i="4"/>
  <c r="T4" i="4"/>
  <c r="C24" i="4"/>
  <c r="P11" i="4" s="1"/>
  <c r="Q11" i="4" s="1"/>
  <c r="T9" i="4"/>
  <c r="T8" i="4"/>
  <c r="T6" i="4"/>
  <c r="T5" i="4"/>
  <c r="T10" i="4"/>
  <c r="T7" i="4"/>
  <c r="T2" i="4"/>
  <c r="P16" i="22" l="1"/>
  <c r="R16" i="22" s="1"/>
  <c r="P17" i="22"/>
  <c r="R17" i="22" s="1"/>
  <c r="P18" i="22"/>
  <c r="R18" i="22" s="1"/>
  <c r="Q17" i="22"/>
  <c r="Q18" i="22"/>
  <c r="P17" i="21"/>
  <c r="R17" i="21" s="1"/>
  <c r="P18" i="21"/>
  <c r="R18" i="21" s="1"/>
  <c r="P19" i="20"/>
  <c r="R19" i="20" s="1"/>
  <c r="P20" i="20"/>
  <c r="R20" i="20" s="1"/>
  <c r="R18" i="20"/>
  <c r="Q18" i="20"/>
  <c r="P17" i="20"/>
  <c r="P19" i="19"/>
  <c r="R19" i="19" s="1"/>
  <c r="P17" i="19"/>
  <c r="Q17" i="19" s="1"/>
  <c r="P16" i="18"/>
  <c r="R16" i="18" s="1"/>
  <c r="P17" i="18"/>
  <c r="R17" i="18" s="1"/>
  <c r="P18" i="18"/>
  <c r="R18" i="18" s="1"/>
  <c r="Q17" i="18"/>
  <c r="P16" i="17"/>
  <c r="R16" i="17" s="1"/>
  <c r="Q19" i="17"/>
  <c r="R19" i="17"/>
  <c r="P17" i="17"/>
  <c r="P18" i="17"/>
  <c r="Q16" i="17"/>
  <c r="P16" i="16"/>
  <c r="R16" i="16" s="1"/>
  <c r="P17" i="16"/>
  <c r="R17" i="16" s="1"/>
  <c r="P18" i="16"/>
  <c r="R18" i="16" s="1"/>
  <c r="P16" i="5"/>
  <c r="Q16" i="5" s="1"/>
  <c r="P17" i="5"/>
  <c r="R17" i="5" s="1"/>
  <c r="P18" i="5"/>
  <c r="P17" i="15"/>
  <c r="R17" i="15" s="1"/>
  <c r="P16" i="15"/>
  <c r="P18" i="15"/>
  <c r="R18" i="15" s="1"/>
  <c r="P17" i="4"/>
  <c r="R17" i="4" s="1"/>
  <c r="P18" i="4"/>
  <c r="R18" i="4" s="1"/>
  <c r="R18" i="14"/>
  <c r="Q18" i="14"/>
  <c r="P19" i="14"/>
  <c r="R19" i="14" s="1"/>
  <c r="P16" i="14"/>
  <c r="P17" i="14"/>
  <c r="P18" i="13"/>
  <c r="R18" i="13" s="1"/>
  <c r="P19" i="13"/>
  <c r="R19" i="13" s="1"/>
  <c r="R19" i="12"/>
  <c r="P16" i="11"/>
  <c r="R16" i="11" s="1"/>
  <c r="R19" i="11"/>
  <c r="S19" i="11" s="1"/>
  <c r="P17" i="11"/>
  <c r="Q20" i="10"/>
  <c r="P17" i="10"/>
  <c r="P18" i="10"/>
  <c r="P19" i="10"/>
  <c r="R18" i="9"/>
  <c r="Q18" i="9"/>
  <c r="P19" i="9"/>
  <c r="R19" i="9" s="1"/>
  <c r="P17" i="9"/>
  <c r="R18" i="8"/>
  <c r="Q18" i="8"/>
  <c r="P19" i="8"/>
  <c r="P16" i="8"/>
  <c r="P17" i="8"/>
  <c r="P17" i="7"/>
  <c r="P18" i="7"/>
  <c r="Q18" i="7" s="1"/>
  <c r="Q19" i="7"/>
  <c r="R19" i="7"/>
  <c r="P16" i="7"/>
  <c r="Q19" i="22"/>
  <c r="Q19" i="21"/>
  <c r="R17" i="19"/>
  <c r="R18" i="19"/>
  <c r="S18" i="19" s="1"/>
  <c r="Q19" i="18"/>
  <c r="Q19" i="16"/>
  <c r="Q19" i="5"/>
  <c r="Q19" i="15"/>
  <c r="Q19" i="4"/>
  <c r="Q19" i="14"/>
  <c r="Q19" i="13"/>
  <c r="Q20" i="13"/>
  <c r="P17" i="12"/>
  <c r="P18" i="12"/>
  <c r="P18" i="11"/>
  <c r="P5" i="18"/>
  <c r="R5" i="18" s="1"/>
  <c r="P12" i="18"/>
  <c r="R12" i="18" s="1"/>
  <c r="P6" i="18"/>
  <c r="Q6" i="18" s="1"/>
  <c r="P13" i="18"/>
  <c r="P14" i="18"/>
  <c r="R14" i="18" s="1"/>
  <c r="P7" i="18"/>
  <c r="Q7" i="18" s="1"/>
  <c r="P9" i="18"/>
  <c r="Q9" i="18" s="1"/>
  <c r="P3" i="18"/>
  <c r="P15" i="18"/>
  <c r="R15" i="18" s="1"/>
  <c r="P8" i="18"/>
  <c r="R8" i="18" s="1"/>
  <c r="P4" i="18"/>
  <c r="Q4" i="18" s="1"/>
  <c r="P10" i="18"/>
  <c r="Q10" i="18" s="1"/>
  <c r="P2" i="18"/>
  <c r="Q2" i="18" s="1"/>
  <c r="P10" i="13"/>
  <c r="Q10" i="13" s="1"/>
  <c r="P2" i="13"/>
  <c r="P3" i="13"/>
  <c r="R3" i="13" s="1"/>
  <c r="P9" i="13"/>
  <c r="Q9" i="13" s="1"/>
  <c r="P5" i="13"/>
  <c r="Q5" i="13" s="1"/>
  <c r="P12" i="13"/>
  <c r="Q12" i="13" s="1"/>
  <c r="P4" i="13"/>
  <c r="Q4" i="13" s="1"/>
  <c r="P6" i="13"/>
  <c r="P7" i="13"/>
  <c r="Q7" i="13" s="1"/>
  <c r="P15" i="13"/>
  <c r="R15" i="13" s="1"/>
  <c r="P11" i="13"/>
  <c r="P13" i="13"/>
  <c r="Q13" i="13" s="1"/>
  <c r="P16" i="13"/>
  <c r="R16" i="13" s="1"/>
  <c r="P8" i="13"/>
  <c r="Q8" i="13" s="1"/>
  <c r="Q12" i="18"/>
  <c r="S12" i="18" s="1"/>
  <c r="P6" i="12"/>
  <c r="R6" i="12" s="1"/>
  <c r="P7" i="12"/>
  <c r="R7" i="12" s="1"/>
  <c r="P16" i="12"/>
  <c r="Q16" i="12" s="1"/>
  <c r="P15" i="12"/>
  <c r="R15" i="12" s="1"/>
  <c r="P2" i="9"/>
  <c r="R2" i="9" s="1"/>
  <c r="P3" i="9"/>
  <c r="R3" i="9" s="1"/>
  <c r="P16" i="9"/>
  <c r="R16" i="9" s="1"/>
  <c r="P8" i="9"/>
  <c r="Q8" i="9" s="1"/>
  <c r="P9" i="9"/>
  <c r="P4" i="9"/>
  <c r="Q4" i="9" s="1"/>
  <c r="P10" i="9"/>
  <c r="Q10" i="9" s="1"/>
  <c r="P15" i="9"/>
  <c r="R15" i="9" s="1"/>
  <c r="P5" i="9"/>
  <c r="P11" i="9"/>
  <c r="Q11" i="9" s="1"/>
  <c r="P12" i="9"/>
  <c r="R12" i="9" s="1"/>
  <c r="P13" i="9"/>
  <c r="Q13" i="9" s="1"/>
  <c r="P7" i="9"/>
  <c r="Q7" i="9" s="1"/>
  <c r="P6" i="9"/>
  <c r="R6" i="9" s="1"/>
  <c r="Q11" i="8"/>
  <c r="R11" i="8"/>
  <c r="P9" i="8"/>
  <c r="R9" i="8" s="1"/>
  <c r="P6" i="8"/>
  <c r="P12" i="8"/>
  <c r="P7" i="8"/>
  <c r="Q7" i="8" s="1"/>
  <c r="P8" i="8"/>
  <c r="P10" i="8"/>
  <c r="P13" i="8"/>
  <c r="R13" i="8" s="1"/>
  <c r="P14" i="8"/>
  <c r="P15" i="8"/>
  <c r="P3" i="8"/>
  <c r="P5" i="8"/>
  <c r="P2" i="8"/>
  <c r="R2" i="8" s="1"/>
  <c r="P4" i="8"/>
  <c r="R7" i="13"/>
  <c r="S7" i="13" s="1"/>
  <c r="P10" i="5"/>
  <c r="Q10" i="5" s="1"/>
  <c r="R9" i="13"/>
  <c r="R14" i="12"/>
  <c r="Q14" i="12"/>
  <c r="P8" i="12"/>
  <c r="P2" i="12"/>
  <c r="R2" i="12" s="1"/>
  <c r="P4" i="12"/>
  <c r="R4" i="12" s="1"/>
  <c r="P12" i="12"/>
  <c r="R16" i="12"/>
  <c r="S16" i="12" s="1"/>
  <c r="P10" i="12"/>
  <c r="R10" i="12" s="1"/>
  <c r="P5" i="12"/>
  <c r="Q5" i="12" s="1"/>
  <c r="P13" i="12"/>
  <c r="R13" i="12" s="1"/>
  <c r="Q7" i="12"/>
  <c r="S7" i="12" s="1"/>
  <c r="P9" i="12"/>
  <c r="P3" i="12"/>
  <c r="Q3" i="12" s="1"/>
  <c r="P11" i="12"/>
  <c r="Q14" i="9"/>
  <c r="S14" i="9" s="1"/>
  <c r="Q15" i="13"/>
  <c r="S15" i="13" s="1"/>
  <c r="Q14" i="5"/>
  <c r="R14" i="5"/>
  <c r="P8" i="5"/>
  <c r="Q8" i="5" s="1"/>
  <c r="P15" i="5"/>
  <c r="R15" i="5" s="1"/>
  <c r="P9" i="5"/>
  <c r="R9" i="5" s="1"/>
  <c r="P3" i="5"/>
  <c r="P11" i="5"/>
  <c r="P6" i="5"/>
  <c r="R6" i="5" s="1"/>
  <c r="P12" i="5"/>
  <c r="P4" i="5"/>
  <c r="R4" i="5" s="1"/>
  <c r="P5" i="5"/>
  <c r="Q5" i="5" s="1"/>
  <c r="P7" i="5"/>
  <c r="R7" i="5" s="1"/>
  <c r="P13" i="5"/>
  <c r="P7" i="20"/>
  <c r="Q7" i="20" s="1"/>
  <c r="P8" i="20"/>
  <c r="R8" i="20" s="1"/>
  <c r="P9" i="20"/>
  <c r="Q9" i="20" s="1"/>
  <c r="P10" i="20"/>
  <c r="P5" i="20"/>
  <c r="P15" i="20"/>
  <c r="R15" i="20" s="1"/>
  <c r="P6" i="20"/>
  <c r="R6" i="20" s="1"/>
  <c r="P16" i="20"/>
  <c r="Q16" i="20" s="1"/>
  <c r="P11" i="20"/>
  <c r="P2" i="20"/>
  <c r="R2" i="20" s="1"/>
  <c r="P3" i="20"/>
  <c r="Q3" i="20" s="1"/>
  <c r="P12" i="20"/>
  <c r="R12" i="20" s="1"/>
  <c r="P14" i="20"/>
  <c r="P4" i="20"/>
  <c r="Q4" i="20" s="1"/>
  <c r="P15" i="17"/>
  <c r="P3" i="17"/>
  <c r="P9" i="17"/>
  <c r="P10" i="17"/>
  <c r="P14" i="17"/>
  <c r="P4" i="17"/>
  <c r="P8" i="17"/>
  <c r="P5" i="17"/>
  <c r="R5" i="17" s="1"/>
  <c r="P11" i="17"/>
  <c r="P7" i="17"/>
  <c r="P2" i="17"/>
  <c r="R2" i="17" s="1"/>
  <c r="P6" i="17"/>
  <c r="P12" i="17"/>
  <c r="R12" i="16"/>
  <c r="Q12" i="16"/>
  <c r="P8" i="16"/>
  <c r="P14" i="16"/>
  <c r="R14" i="16" s="1"/>
  <c r="P13" i="16"/>
  <c r="P2" i="16"/>
  <c r="P9" i="16"/>
  <c r="Q9" i="16" s="1"/>
  <c r="P15" i="16"/>
  <c r="P3" i="16"/>
  <c r="P4" i="16"/>
  <c r="R4" i="16" s="1"/>
  <c r="P10" i="16"/>
  <c r="P6" i="16"/>
  <c r="P5" i="16"/>
  <c r="Q5" i="16" s="1"/>
  <c r="P11" i="16"/>
  <c r="P7" i="16"/>
  <c r="R13" i="15"/>
  <c r="Q13" i="15"/>
  <c r="P2" i="15"/>
  <c r="R2" i="15" s="1"/>
  <c r="P9" i="15"/>
  <c r="Q9" i="15" s="1"/>
  <c r="P3" i="15"/>
  <c r="P11" i="15"/>
  <c r="P4" i="15"/>
  <c r="P12" i="15"/>
  <c r="Q12" i="15" s="1"/>
  <c r="P5" i="15"/>
  <c r="R5" i="15" s="1"/>
  <c r="P14" i="15"/>
  <c r="R14" i="15" s="1"/>
  <c r="P15" i="15"/>
  <c r="R15" i="15" s="1"/>
  <c r="P6" i="15"/>
  <c r="Q10" i="15"/>
  <c r="S10" i="15" s="1"/>
  <c r="P7" i="15"/>
  <c r="P8" i="15"/>
  <c r="R8" i="15" s="1"/>
  <c r="P13" i="10"/>
  <c r="P14" i="10"/>
  <c r="P9" i="10"/>
  <c r="P2" i="10"/>
  <c r="R2" i="10" s="1"/>
  <c r="P12" i="10"/>
  <c r="P4" i="10"/>
  <c r="P5" i="10"/>
  <c r="P6" i="10"/>
  <c r="P7" i="10"/>
  <c r="P10" i="10"/>
  <c r="P11" i="10"/>
  <c r="P15" i="10"/>
  <c r="P8" i="10"/>
  <c r="P16" i="10"/>
  <c r="P3" i="10"/>
  <c r="P2" i="7"/>
  <c r="Q14" i="15"/>
  <c r="S14" i="15" s="1"/>
  <c r="Q13" i="20"/>
  <c r="S13" i="20" s="1"/>
  <c r="Q15" i="15"/>
  <c r="S15" i="15" s="1"/>
  <c r="Q17" i="13"/>
  <c r="S17" i="13" s="1"/>
  <c r="Q13" i="17"/>
  <c r="S13" i="17" s="1"/>
  <c r="Q13" i="8"/>
  <c r="S13" i="8" s="1"/>
  <c r="P7" i="19"/>
  <c r="Q7" i="19" s="1"/>
  <c r="P5" i="19"/>
  <c r="P10" i="19"/>
  <c r="Q10" i="19" s="1"/>
  <c r="P6" i="19"/>
  <c r="R6" i="19" s="1"/>
  <c r="P11" i="19"/>
  <c r="Q11" i="19" s="1"/>
  <c r="P14" i="19"/>
  <c r="Q14" i="19" s="1"/>
  <c r="P8" i="19"/>
  <c r="R8" i="19" s="1"/>
  <c r="P3" i="19"/>
  <c r="R3" i="19" s="1"/>
  <c r="P16" i="19"/>
  <c r="R16" i="19" s="1"/>
  <c r="P2" i="19"/>
  <c r="R2" i="19" s="1"/>
  <c r="P4" i="19"/>
  <c r="R4" i="19" s="1"/>
  <c r="P9" i="19"/>
  <c r="R9" i="19" s="1"/>
  <c r="R13" i="19"/>
  <c r="S13" i="19" s="1"/>
  <c r="P4" i="4"/>
  <c r="R4" i="4" s="1"/>
  <c r="Q6" i="4"/>
  <c r="P14" i="4"/>
  <c r="Q14" i="4" s="1"/>
  <c r="P16" i="4"/>
  <c r="R16" i="4" s="1"/>
  <c r="P5" i="4"/>
  <c r="Q5" i="4" s="1"/>
  <c r="P7" i="4"/>
  <c r="Q7" i="4" s="1"/>
  <c r="P15" i="4"/>
  <c r="Q15" i="4" s="1"/>
  <c r="R15" i="19"/>
  <c r="Q13" i="22"/>
  <c r="R13" i="22"/>
  <c r="P2" i="22"/>
  <c r="P10" i="22"/>
  <c r="P3" i="22"/>
  <c r="P4" i="22"/>
  <c r="R4" i="22" s="1"/>
  <c r="P8" i="22"/>
  <c r="P11" i="22"/>
  <c r="R11" i="22" s="1"/>
  <c r="P5" i="22"/>
  <c r="R5" i="22" s="1"/>
  <c r="P12" i="22"/>
  <c r="R12" i="22" s="1"/>
  <c r="P9" i="22"/>
  <c r="P14" i="22"/>
  <c r="P7" i="22"/>
  <c r="P15" i="22"/>
  <c r="P6" i="22"/>
  <c r="R8" i="21"/>
  <c r="Q8" i="21"/>
  <c r="S8" i="21" s="1"/>
  <c r="P3" i="21"/>
  <c r="P13" i="21"/>
  <c r="P14" i="21"/>
  <c r="P9" i="21"/>
  <c r="P15" i="21"/>
  <c r="R15" i="21" s="1"/>
  <c r="P4" i="21"/>
  <c r="R4" i="21" s="1"/>
  <c r="P16" i="21"/>
  <c r="R16" i="21" s="1"/>
  <c r="P7" i="21"/>
  <c r="P5" i="21"/>
  <c r="P6" i="21"/>
  <c r="R6" i="21" s="1"/>
  <c r="P10" i="21"/>
  <c r="P2" i="21"/>
  <c r="P11" i="21"/>
  <c r="R11" i="21" s="1"/>
  <c r="P12" i="21"/>
  <c r="P11" i="14"/>
  <c r="P12" i="14"/>
  <c r="P5" i="14"/>
  <c r="Q5" i="14" s="1"/>
  <c r="P6" i="14"/>
  <c r="R6" i="14" s="1"/>
  <c r="P13" i="14"/>
  <c r="P2" i="14"/>
  <c r="P15" i="14"/>
  <c r="R15" i="14" s="1"/>
  <c r="P3" i="14"/>
  <c r="P8" i="14"/>
  <c r="R8" i="14" s="1"/>
  <c r="P9" i="14"/>
  <c r="P7" i="14"/>
  <c r="P10" i="14"/>
  <c r="P14" i="14"/>
  <c r="P4" i="14"/>
  <c r="R4" i="14" s="1"/>
  <c r="P12" i="11"/>
  <c r="P13" i="11"/>
  <c r="P8" i="11"/>
  <c r="R16" i="20"/>
  <c r="S16" i="20" s="1"/>
  <c r="Q15" i="20"/>
  <c r="S15" i="20" s="1"/>
  <c r="R12" i="19"/>
  <c r="S12" i="19" s="1"/>
  <c r="Q15" i="18"/>
  <c r="S15" i="18" s="1"/>
  <c r="Q11" i="18"/>
  <c r="S11" i="18" s="1"/>
  <c r="M31" i="18" s="1"/>
  <c r="Q5" i="18"/>
  <c r="S5" i="18" s="1"/>
  <c r="Q4" i="16"/>
  <c r="S4" i="16" s="1"/>
  <c r="P2" i="4"/>
  <c r="P12" i="4"/>
  <c r="Q12" i="4" s="1"/>
  <c r="P3" i="4"/>
  <c r="Q3" i="4" s="1"/>
  <c r="P13" i="4"/>
  <c r="Q13" i="4" s="1"/>
  <c r="P8" i="4"/>
  <c r="Q8" i="4" s="1"/>
  <c r="P9" i="4"/>
  <c r="Q9" i="4" s="1"/>
  <c r="P10" i="4"/>
  <c r="Q10" i="4" s="1"/>
  <c r="P14" i="11"/>
  <c r="P5" i="11"/>
  <c r="R5" i="11" s="1"/>
  <c r="P15" i="11"/>
  <c r="P10" i="11"/>
  <c r="P2" i="11"/>
  <c r="P3" i="11"/>
  <c r="P9" i="11"/>
  <c r="P6" i="11"/>
  <c r="P7" i="11"/>
  <c r="P4" i="11"/>
  <c r="P11" i="11"/>
  <c r="P13" i="7"/>
  <c r="P6" i="7"/>
  <c r="P3" i="7"/>
  <c r="P11" i="7"/>
  <c r="P15" i="7"/>
  <c r="P8" i="7"/>
  <c r="P12" i="7"/>
  <c r="P9" i="7"/>
  <c r="P5" i="7"/>
  <c r="P14" i="7"/>
  <c r="P10" i="7"/>
  <c r="P7" i="7"/>
  <c r="P4" i="7"/>
  <c r="Q4" i="4"/>
  <c r="R6" i="4"/>
  <c r="R11" i="4"/>
  <c r="S11" i="4" s="1"/>
  <c r="Q19" i="20" l="1"/>
  <c r="Q17" i="4"/>
  <c r="Q16" i="16"/>
  <c r="Q16" i="18"/>
  <c r="Q18" i="18"/>
  <c r="S18" i="18" s="1"/>
  <c r="Q17" i="15"/>
  <c r="Q17" i="5"/>
  <c r="Q17" i="21"/>
  <c r="Q19" i="9"/>
  <c r="Q18" i="16"/>
  <c r="R16" i="5"/>
  <c r="Q18" i="15"/>
  <c r="Q18" i="4"/>
  <c r="Q18" i="13"/>
  <c r="Q17" i="16"/>
  <c r="Q16" i="22"/>
  <c r="Q18" i="21"/>
  <c r="Q20" i="20"/>
  <c r="R17" i="20"/>
  <c r="Q17" i="20"/>
  <c r="Q19" i="19"/>
  <c r="R18" i="17"/>
  <c r="Q18" i="17"/>
  <c r="R17" i="17"/>
  <c r="Q17" i="17"/>
  <c r="R18" i="5"/>
  <c r="Q18" i="5"/>
  <c r="R16" i="15"/>
  <c r="Q16" i="15"/>
  <c r="R17" i="14"/>
  <c r="S17" i="14" s="1"/>
  <c r="Q17" i="14"/>
  <c r="R16" i="14"/>
  <c r="Q16" i="14"/>
  <c r="Q18" i="12"/>
  <c r="R18" i="12"/>
  <c r="Q17" i="12"/>
  <c r="R17" i="12"/>
  <c r="Q16" i="11"/>
  <c r="Q18" i="11"/>
  <c r="R18" i="11"/>
  <c r="R17" i="11"/>
  <c r="Q17" i="11"/>
  <c r="Q18" i="10"/>
  <c r="R18" i="10"/>
  <c r="Q19" i="10"/>
  <c r="R19" i="10"/>
  <c r="Q17" i="10"/>
  <c r="R17" i="10"/>
  <c r="R17" i="9"/>
  <c r="Q17" i="9"/>
  <c r="R17" i="8"/>
  <c r="Q17" i="8"/>
  <c r="R16" i="8"/>
  <c r="Q16" i="8"/>
  <c r="Q19" i="8"/>
  <c r="R19" i="8"/>
  <c r="S19" i="7"/>
  <c r="R18" i="7"/>
  <c r="R17" i="7"/>
  <c r="Q17" i="7"/>
  <c r="R16" i="7"/>
  <c r="Q16" i="7"/>
  <c r="V18" i="19"/>
  <c r="U18" i="19"/>
  <c r="V18" i="18"/>
  <c r="U18" i="18"/>
  <c r="S19" i="18"/>
  <c r="S18" i="13"/>
  <c r="U19" i="11"/>
  <c r="V19" i="11"/>
  <c r="V19" i="7"/>
  <c r="U19" i="7"/>
  <c r="M30" i="15"/>
  <c r="U10" i="15"/>
  <c r="V10" i="15"/>
  <c r="U15" i="15"/>
  <c r="V15" i="15"/>
  <c r="V14" i="15"/>
  <c r="U14" i="15"/>
  <c r="S19" i="20"/>
  <c r="Q14" i="16"/>
  <c r="S14" i="16" s="1"/>
  <c r="R2" i="14"/>
  <c r="Q2" i="14"/>
  <c r="Q16" i="13"/>
  <c r="S16" i="13" s="1"/>
  <c r="R14" i="13"/>
  <c r="S14" i="13" s="1"/>
  <c r="R10" i="13"/>
  <c r="S10" i="13" s="1"/>
  <c r="Q6" i="12"/>
  <c r="S6" i="12" s="1"/>
  <c r="R3" i="10"/>
  <c r="Q3" i="10"/>
  <c r="Q3" i="9"/>
  <c r="S3" i="9" s="1"/>
  <c r="S18" i="9"/>
  <c r="R5" i="4"/>
  <c r="R11" i="9"/>
  <c r="S11" i="9" s="1"/>
  <c r="M31" i="9" s="1"/>
  <c r="R10" i="18"/>
  <c r="S10" i="18" s="1"/>
  <c r="S17" i="18"/>
  <c r="R9" i="18"/>
  <c r="S9" i="18" s="1"/>
  <c r="R2" i="18"/>
  <c r="S2" i="18" s="1"/>
  <c r="R4" i="18"/>
  <c r="S4" i="18" s="1"/>
  <c r="M24" i="18" s="1"/>
  <c r="Q3" i="18"/>
  <c r="R3" i="18"/>
  <c r="R13" i="18"/>
  <c r="Q13" i="18"/>
  <c r="R6" i="18"/>
  <c r="S6" i="18" s="1"/>
  <c r="Q8" i="18"/>
  <c r="S8" i="18" s="1"/>
  <c r="M28" i="18" s="1"/>
  <c r="Q14" i="18"/>
  <c r="S14" i="18" s="1"/>
  <c r="R7" i="18"/>
  <c r="S7" i="18" s="1"/>
  <c r="S16" i="18"/>
  <c r="R5" i="14"/>
  <c r="S5" i="14" s="1"/>
  <c r="M25" i="14" s="1"/>
  <c r="Q6" i="5"/>
  <c r="S6" i="5" s="1"/>
  <c r="R10" i="5"/>
  <c r="S10" i="5" s="1"/>
  <c r="Q11" i="22"/>
  <c r="S11" i="22" s="1"/>
  <c r="S19" i="14"/>
  <c r="S9" i="13"/>
  <c r="S20" i="13"/>
  <c r="R8" i="13"/>
  <c r="S8" i="13" s="1"/>
  <c r="M28" i="13" s="1"/>
  <c r="S19" i="13"/>
  <c r="R5" i="13"/>
  <c r="S5" i="13" s="1"/>
  <c r="R4" i="13"/>
  <c r="S4" i="13" s="1"/>
  <c r="M24" i="13" s="1"/>
  <c r="Q11" i="13"/>
  <c r="R11" i="13"/>
  <c r="R13" i="13"/>
  <c r="S13" i="13" s="1"/>
  <c r="Q2" i="13"/>
  <c r="R2" i="13"/>
  <c r="R12" i="13"/>
  <c r="S12" i="13" s="1"/>
  <c r="Q3" i="13"/>
  <c r="S3" i="13" s="1"/>
  <c r="R6" i="13"/>
  <c r="Q6" i="13"/>
  <c r="Q10" i="12"/>
  <c r="S10" i="12" s="1"/>
  <c r="M27" i="12"/>
  <c r="Q15" i="12"/>
  <c r="S15" i="12" s="1"/>
  <c r="S14" i="12"/>
  <c r="Q2" i="19"/>
  <c r="S2" i="19" s="1"/>
  <c r="R7" i="9"/>
  <c r="S7" i="9" s="1"/>
  <c r="Q15" i="9"/>
  <c r="S15" i="9" s="1"/>
  <c r="R13" i="9"/>
  <c r="S13" i="9" s="1"/>
  <c r="R4" i="9"/>
  <c r="S4" i="9" s="1"/>
  <c r="R10" i="9"/>
  <c r="S10" i="9" s="1"/>
  <c r="M30" i="9" s="1"/>
  <c r="R8" i="9"/>
  <c r="S8" i="9" s="1"/>
  <c r="M23" i="9"/>
  <c r="Q12" i="9"/>
  <c r="S12" i="9" s="1"/>
  <c r="Q9" i="9"/>
  <c r="R9" i="9"/>
  <c r="Q6" i="9"/>
  <c r="S6" i="9" s="1"/>
  <c r="M26" i="9" s="1"/>
  <c r="Q2" i="9"/>
  <c r="S2" i="9" s="1"/>
  <c r="M22" i="9" s="1"/>
  <c r="Q5" i="9"/>
  <c r="R5" i="9"/>
  <c r="Q16" i="9"/>
  <c r="S16" i="9" s="1"/>
  <c r="S13" i="22"/>
  <c r="Q5" i="17"/>
  <c r="S5" i="17" s="1"/>
  <c r="R5" i="5"/>
  <c r="S5" i="5" s="1"/>
  <c r="Q9" i="5"/>
  <c r="S9" i="5" s="1"/>
  <c r="R5" i="12"/>
  <c r="S5" i="12" s="1"/>
  <c r="R7" i="8"/>
  <c r="S7" i="8" s="1"/>
  <c r="S11" i="8"/>
  <c r="M31" i="8" s="1"/>
  <c r="Q3" i="8"/>
  <c r="R3" i="8"/>
  <c r="Q9" i="8"/>
  <c r="S9" i="8" s="1"/>
  <c r="R10" i="8"/>
  <c r="Q10" i="8"/>
  <c r="Q2" i="8"/>
  <c r="S2" i="8" s="1"/>
  <c r="M22" i="8" s="1"/>
  <c r="R14" i="8"/>
  <c r="Q14" i="8"/>
  <c r="Q5" i="8"/>
  <c r="R5" i="8"/>
  <c r="R6" i="8"/>
  <c r="Q6" i="8"/>
  <c r="R15" i="8"/>
  <c r="Q15" i="8"/>
  <c r="Q4" i="8"/>
  <c r="R4" i="8"/>
  <c r="Q8" i="8"/>
  <c r="R8" i="8"/>
  <c r="Q12" i="8"/>
  <c r="R12" i="8"/>
  <c r="S6" i="4"/>
  <c r="S5" i="4"/>
  <c r="R14" i="4"/>
  <c r="S14" i="4" s="1"/>
  <c r="M26" i="12"/>
  <c r="Q15" i="5"/>
  <c r="S15" i="5" s="1"/>
  <c r="Q4" i="19"/>
  <c r="S4" i="19" s="1"/>
  <c r="S18" i="20"/>
  <c r="R11" i="12"/>
  <c r="Q11" i="12"/>
  <c r="Q12" i="12"/>
  <c r="R12" i="12"/>
  <c r="R9" i="12"/>
  <c r="Q9" i="12"/>
  <c r="R3" i="12"/>
  <c r="S3" i="12" s="1"/>
  <c r="Q8" i="12"/>
  <c r="R8" i="12"/>
  <c r="Q4" i="12"/>
  <c r="S4" i="12" s="1"/>
  <c r="Q13" i="12"/>
  <c r="S13" i="12" s="1"/>
  <c r="Q2" i="12"/>
  <c r="S2" i="12" s="1"/>
  <c r="R7" i="20"/>
  <c r="Q6" i="21"/>
  <c r="S6" i="21" s="1"/>
  <c r="Q13" i="5"/>
  <c r="R13" i="5"/>
  <c r="S16" i="5"/>
  <c r="Q4" i="5"/>
  <c r="S4" i="5" s="1"/>
  <c r="R2" i="5"/>
  <c r="Q2" i="5"/>
  <c r="Q11" i="5"/>
  <c r="R11" i="5"/>
  <c r="Q7" i="5"/>
  <c r="S7" i="5" s="1"/>
  <c r="R8" i="5"/>
  <c r="S8" i="5" s="1"/>
  <c r="M28" i="5" s="1"/>
  <c r="R12" i="5"/>
  <c r="Q12" i="5"/>
  <c r="S12" i="5" s="1"/>
  <c r="R3" i="5"/>
  <c r="Q3" i="5"/>
  <c r="S14" i="5"/>
  <c r="S7" i="20"/>
  <c r="M27" i="20" s="1"/>
  <c r="Q2" i="20"/>
  <c r="S2" i="20" s="1"/>
  <c r="Q8" i="20"/>
  <c r="S8" i="20" s="1"/>
  <c r="M28" i="20" s="1"/>
  <c r="S17" i="20"/>
  <c r="R9" i="20"/>
  <c r="S9" i="20" s="1"/>
  <c r="M29" i="20" s="1"/>
  <c r="Q12" i="20"/>
  <c r="S12" i="20" s="1"/>
  <c r="Q10" i="20"/>
  <c r="R10" i="20"/>
  <c r="R14" i="20"/>
  <c r="Q14" i="20"/>
  <c r="R3" i="20"/>
  <c r="S3" i="20" s="1"/>
  <c r="Q6" i="20"/>
  <c r="S6" i="20" s="1"/>
  <c r="Q11" i="20"/>
  <c r="R11" i="20"/>
  <c r="R4" i="20"/>
  <c r="S4" i="20" s="1"/>
  <c r="M24" i="20" s="1"/>
  <c r="Q5" i="20"/>
  <c r="R5" i="20"/>
  <c r="Q2" i="17"/>
  <c r="S2" i="17" s="1"/>
  <c r="R14" i="17"/>
  <c r="Q14" i="17"/>
  <c r="S14" i="17" s="1"/>
  <c r="M25" i="17"/>
  <c r="R6" i="17"/>
  <c r="Q6" i="17"/>
  <c r="S18" i="17"/>
  <c r="R4" i="17"/>
  <c r="Q4" i="17"/>
  <c r="R9" i="17"/>
  <c r="Q9" i="17"/>
  <c r="Q10" i="17"/>
  <c r="R10" i="17"/>
  <c r="R7" i="17"/>
  <c r="Q7" i="17"/>
  <c r="R11" i="17"/>
  <c r="Q11" i="17"/>
  <c r="S11" i="17" s="1"/>
  <c r="S19" i="17"/>
  <c r="R3" i="17"/>
  <c r="Q3" i="17"/>
  <c r="R12" i="17"/>
  <c r="Q12" i="17"/>
  <c r="S12" i="17" s="1"/>
  <c r="R8" i="17"/>
  <c r="Q8" i="17"/>
  <c r="S8" i="17" s="1"/>
  <c r="Q15" i="17"/>
  <c r="R15" i="17"/>
  <c r="S12" i="16"/>
  <c r="S19" i="16"/>
  <c r="R11" i="16"/>
  <c r="Q11" i="16"/>
  <c r="Q15" i="16"/>
  <c r="R15" i="16"/>
  <c r="R2" i="16"/>
  <c r="Q2" i="16"/>
  <c r="S2" i="16" s="1"/>
  <c r="M22" i="16" s="1"/>
  <c r="R7" i="16"/>
  <c r="Q7" i="16"/>
  <c r="Q13" i="16"/>
  <c r="R13" i="16"/>
  <c r="R9" i="16"/>
  <c r="S9" i="16" s="1"/>
  <c r="R3" i="16"/>
  <c r="Q3" i="16"/>
  <c r="R5" i="16"/>
  <c r="S5" i="16" s="1"/>
  <c r="R8" i="16"/>
  <c r="Q8" i="16"/>
  <c r="R10" i="16"/>
  <c r="Q10" i="16"/>
  <c r="R6" i="16"/>
  <c r="Q6" i="16"/>
  <c r="S6" i="16" s="1"/>
  <c r="S13" i="15"/>
  <c r="Q8" i="15"/>
  <c r="S8" i="15" s="1"/>
  <c r="Q5" i="15"/>
  <c r="S5" i="15" s="1"/>
  <c r="R9" i="15"/>
  <c r="S9" i="15" s="1"/>
  <c r="Q2" i="15"/>
  <c r="S2" i="15" s="1"/>
  <c r="R4" i="15"/>
  <c r="Q4" i="15"/>
  <c r="R11" i="15"/>
  <c r="Q11" i="15"/>
  <c r="R7" i="15"/>
  <c r="Q7" i="15"/>
  <c r="R3" i="15"/>
  <c r="Q3" i="15"/>
  <c r="R6" i="15"/>
  <c r="Q6" i="15"/>
  <c r="S6" i="15" s="1"/>
  <c r="R12" i="15"/>
  <c r="S12" i="15" s="1"/>
  <c r="Q5" i="10"/>
  <c r="R5" i="10"/>
  <c r="R4" i="10"/>
  <c r="Q4" i="10"/>
  <c r="R12" i="10"/>
  <c r="Q12" i="10"/>
  <c r="Q9" i="10"/>
  <c r="R9" i="10"/>
  <c r="Q14" i="10"/>
  <c r="R14" i="10"/>
  <c r="Q13" i="10"/>
  <c r="R13" i="10"/>
  <c r="S20" i="10"/>
  <c r="Q16" i="10"/>
  <c r="R16" i="10"/>
  <c r="Q11" i="10"/>
  <c r="R11" i="10"/>
  <c r="Q7" i="10"/>
  <c r="R7" i="10"/>
  <c r="S3" i="10"/>
  <c r="Q2" i="10"/>
  <c r="S2" i="10" s="1"/>
  <c r="M22" i="10" s="1"/>
  <c r="Q8" i="10"/>
  <c r="R8" i="10"/>
  <c r="R15" i="10"/>
  <c r="Q15" i="10"/>
  <c r="S15" i="10" s="1"/>
  <c r="Q10" i="10"/>
  <c r="R10" i="10"/>
  <c r="Q6" i="10"/>
  <c r="R6" i="10"/>
  <c r="Q4" i="7"/>
  <c r="R4" i="7"/>
  <c r="Q15" i="7"/>
  <c r="R15" i="7"/>
  <c r="Q7" i="7"/>
  <c r="R7" i="7"/>
  <c r="Q3" i="7"/>
  <c r="R3" i="7"/>
  <c r="R5" i="7"/>
  <c r="Q5" i="7"/>
  <c r="Q2" i="7"/>
  <c r="R2" i="7"/>
  <c r="R8" i="7"/>
  <c r="Q8" i="7"/>
  <c r="S8" i="7" s="1"/>
  <c r="Q10" i="7"/>
  <c r="R10" i="7"/>
  <c r="Q9" i="7"/>
  <c r="R9" i="7"/>
  <c r="Q13" i="7"/>
  <c r="R13" i="7"/>
  <c r="Q12" i="7"/>
  <c r="R12" i="7"/>
  <c r="M27" i="9"/>
  <c r="Q11" i="7"/>
  <c r="R11" i="7"/>
  <c r="R7" i="19"/>
  <c r="S7" i="19" s="1"/>
  <c r="Q14" i="7"/>
  <c r="R14" i="7"/>
  <c r="S4" i="4"/>
  <c r="S17" i="19"/>
  <c r="M27" i="8"/>
  <c r="R6" i="7"/>
  <c r="Q6" i="7"/>
  <c r="S15" i="19"/>
  <c r="Q8" i="19"/>
  <c r="S8" i="19" s="1"/>
  <c r="Q9" i="19"/>
  <c r="S9" i="19" s="1"/>
  <c r="Q16" i="19"/>
  <c r="S16" i="19" s="1"/>
  <c r="Q6" i="19"/>
  <c r="S6" i="19" s="1"/>
  <c r="Q3" i="19"/>
  <c r="R11" i="19"/>
  <c r="R5" i="19"/>
  <c r="Q5" i="19"/>
  <c r="S5" i="19" s="1"/>
  <c r="R14" i="19"/>
  <c r="S14" i="19" s="1"/>
  <c r="R10" i="19"/>
  <c r="Q16" i="4"/>
  <c r="S16" i="4" s="1"/>
  <c r="R7" i="4"/>
  <c r="R15" i="4"/>
  <c r="R9" i="4"/>
  <c r="R10" i="4"/>
  <c r="R2" i="4"/>
  <c r="Q2" i="4"/>
  <c r="Q8" i="14"/>
  <c r="S8" i="14" s="1"/>
  <c r="Q4" i="21"/>
  <c r="M28" i="21"/>
  <c r="Q4" i="22"/>
  <c r="Q15" i="22"/>
  <c r="R15" i="22"/>
  <c r="R14" i="22"/>
  <c r="Q14" i="22"/>
  <c r="Q5" i="22"/>
  <c r="R3" i="22"/>
  <c r="Q3" i="22"/>
  <c r="S3" i="22" s="1"/>
  <c r="Q10" i="22"/>
  <c r="R10" i="22"/>
  <c r="Q2" i="22"/>
  <c r="R2" i="22"/>
  <c r="Q7" i="22"/>
  <c r="R7" i="22"/>
  <c r="R9" i="22"/>
  <c r="Q9" i="22"/>
  <c r="S9" i="22" s="1"/>
  <c r="Q12" i="22"/>
  <c r="Q6" i="22"/>
  <c r="R6" i="22"/>
  <c r="R8" i="22"/>
  <c r="Q8" i="22"/>
  <c r="S8" i="22" s="1"/>
  <c r="Q16" i="21"/>
  <c r="S16" i="21" s="1"/>
  <c r="Q12" i="21"/>
  <c r="R12" i="21"/>
  <c r="S19" i="21"/>
  <c r="Q2" i="21"/>
  <c r="R2" i="21"/>
  <c r="R9" i="21"/>
  <c r="Q9" i="21"/>
  <c r="Q14" i="21"/>
  <c r="R14" i="21"/>
  <c r="R7" i="21"/>
  <c r="Q7" i="21"/>
  <c r="S7" i="21" s="1"/>
  <c r="Q13" i="21"/>
  <c r="R13" i="21"/>
  <c r="R3" i="21"/>
  <c r="Q3" i="21"/>
  <c r="Q11" i="21"/>
  <c r="Q15" i="21"/>
  <c r="S15" i="21" s="1"/>
  <c r="Q10" i="21"/>
  <c r="R10" i="21"/>
  <c r="Q5" i="21"/>
  <c r="R5" i="21"/>
  <c r="R3" i="14"/>
  <c r="Q3" i="14"/>
  <c r="S3" i="14" s="1"/>
  <c r="Q13" i="14"/>
  <c r="R13" i="14"/>
  <c r="R12" i="14"/>
  <c r="Q12" i="14"/>
  <c r="Q11" i="14"/>
  <c r="R11" i="14"/>
  <c r="Q4" i="14"/>
  <c r="Q10" i="14"/>
  <c r="R10" i="14"/>
  <c r="R7" i="14"/>
  <c r="Q7" i="14"/>
  <c r="Q6" i="14"/>
  <c r="Q15" i="14"/>
  <c r="R9" i="14"/>
  <c r="Q9" i="14"/>
  <c r="Q14" i="14"/>
  <c r="R14" i="14"/>
  <c r="Q7" i="11"/>
  <c r="R7" i="11"/>
  <c r="R14" i="11"/>
  <c r="Q14" i="11"/>
  <c r="R9" i="11"/>
  <c r="Q9" i="11"/>
  <c r="Q8" i="11"/>
  <c r="R8" i="11"/>
  <c r="Q13" i="11"/>
  <c r="R13" i="11"/>
  <c r="R15" i="11"/>
  <c r="Q15" i="11"/>
  <c r="Q5" i="11"/>
  <c r="R6" i="11"/>
  <c r="Q6" i="11"/>
  <c r="Q3" i="11"/>
  <c r="R3" i="11"/>
  <c r="Q2" i="11"/>
  <c r="R2" i="11"/>
  <c r="Q11" i="11"/>
  <c r="R11" i="11"/>
  <c r="R10" i="11"/>
  <c r="Q10" i="11"/>
  <c r="Q12" i="11"/>
  <c r="R12" i="11"/>
  <c r="M26" i="21"/>
  <c r="M24" i="19"/>
  <c r="M25" i="18"/>
  <c r="M22" i="17"/>
  <c r="M24" i="16"/>
  <c r="R8" i="4"/>
  <c r="S8" i="4" s="1"/>
  <c r="R3" i="4"/>
  <c r="S3" i="4" s="1"/>
  <c r="R13" i="4"/>
  <c r="S13" i="4" s="1"/>
  <c r="R12" i="4"/>
  <c r="S12" i="4" s="1"/>
  <c r="M28" i="14"/>
  <c r="M29" i="13"/>
  <c r="M27" i="13"/>
  <c r="M25" i="13"/>
  <c r="M30" i="13"/>
  <c r="Q4" i="11"/>
  <c r="R4" i="11"/>
  <c r="M25" i="4"/>
  <c r="M26" i="4"/>
  <c r="M24" i="4"/>
  <c r="S17" i="12" l="1"/>
  <c r="S19" i="10"/>
  <c r="V19" i="10" s="1"/>
  <c r="V19" i="21"/>
  <c r="U19" i="21"/>
  <c r="V18" i="20"/>
  <c r="U18" i="20"/>
  <c r="V19" i="20"/>
  <c r="U19" i="20"/>
  <c r="U17" i="20"/>
  <c r="V17" i="20"/>
  <c r="V17" i="19"/>
  <c r="U17" i="19"/>
  <c r="V16" i="18"/>
  <c r="U16" i="18"/>
  <c r="V19" i="18"/>
  <c r="U19" i="18"/>
  <c r="V17" i="18"/>
  <c r="U17" i="18"/>
  <c r="V19" i="17"/>
  <c r="U19" i="17"/>
  <c r="U18" i="17"/>
  <c r="V18" i="17"/>
  <c r="U19" i="16"/>
  <c r="V19" i="16"/>
  <c r="V16" i="5"/>
  <c r="U16" i="5"/>
  <c r="V17" i="14"/>
  <c r="U17" i="14"/>
  <c r="V19" i="14"/>
  <c r="U19" i="14"/>
  <c r="V19" i="13"/>
  <c r="U19" i="13"/>
  <c r="U20" i="13"/>
  <c r="V20" i="13"/>
  <c r="V18" i="13"/>
  <c r="U18" i="13"/>
  <c r="V17" i="12"/>
  <c r="U17" i="12"/>
  <c r="V20" i="10"/>
  <c r="U20" i="10"/>
  <c r="U19" i="10"/>
  <c r="S17" i="10"/>
  <c r="V18" i="9"/>
  <c r="U18" i="9"/>
  <c r="V8" i="7"/>
  <c r="U8" i="7"/>
  <c r="S16" i="15"/>
  <c r="V16" i="15" s="1"/>
  <c r="V12" i="15"/>
  <c r="U12" i="15"/>
  <c r="M29" i="15"/>
  <c r="V9" i="15"/>
  <c r="U9" i="15"/>
  <c r="V6" i="15"/>
  <c r="U6" i="15"/>
  <c r="M25" i="15"/>
  <c r="V5" i="15"/>
  <c r="U5" i="15"/>
  <c r="M28" i="15"/>
  <c r="V8" i="15"/>
  <c r="U8" i="15"/>
  <c r="U13" i="15"/>
  <c r="V13" i="15"/>
  <c r="V2" i="15"/>
  <c r="U2" i="15"/>
  <c r="S3" i="21"/>
  <c r="S9" i="21"/>
  <c r="M22" i="20"/>
  <c r="M30" i="18"/>
  <c r="M29" i="18"/>
  <c r="M29" i="16"/>
  <c r="M26" i="5"/>
  <c r="S4" i="15"/>
  <c r="M24" i="15" s="1"/>
  <c r="S13" i="14"/>
  <c r="S10" i="10"/>
  <c r="S16" i="16"/>
  <c r="S7" i="10"/>
  <c r="S13" i="18"/>
  <c r="M22" i="18"/>
  <c r="M27" i="18"/>
  <c r="M26" i="18"/>
  <c r="S3" i="18"/>
  <c r="S17" i="15"/>
  <c r="M25" i="5"/>
  <c r="M30" i="5"/>
  <c r="M29" i="5"/>
  <c r="S2" i="13"/>
  <c r="S11" i="13"/>
  <c r="M23" i="13"/>
  <c r="S6" i="13"/>
  <c r="M25" i="12"/>
  <c r="S11" i="12"/>
  <c r="M31" i="12" s="1"/>
  <c r="M24" i="12"/>
  <c r="M30" i="12"/>
  <c r="S9" i="12"/>
  <c r="S3" i="17"/>
  <c r="M24" i="9"/>
  <c r="S19" i="9"/>
  <c r="M28" i="9"/>
  <c r="S5" i="9"/>
  <c r="S9" i="9"/>
  <c r="S17" i="9"/>
  <c r="S3" i="5"/>
  <c r="M23" i="5" s="1"/>
  <c r="S12" i="22"/>
  <c r="S6" i="22"/>
  <c r="S14" i="22"/>
  <c r="S19" i="22"/>
  <c r="S15" i="22"/>
  <c r="S13" i="21"/>
  <c r="S2" i="21"/>
  <c r="S10" i="21"/>
  <c r="S14" i="21"/>
  <c r="S12" i="21"/>
  <c r="S5" i="21"/>
  <c r="S4" i="21"/>
  <c r="M24" i="21" s="1"/>
  <c r="M27" i="19"/>
  <c r="S17" i="17"/>
  <c r="S6" i="17"/>
  <c r="M26" i="17" s="1"/>
  <c r="S19" i="5"/>
  <c r="S8" i="12"/>
  <c r="S14" i="11"/>
  <c r="S16" i="11"/>
  <c r="S16" i="8"/>
  <c r="S14" i="8"/>
  <c r="S17" i="8"/>
  <c r="M29" i="8"/>
  <c r="S18" i="8"/>
  <c r="S10" i="8"/>
  <c r="M30" i="8" s="1"/>
  <c r="S19" i="8"/>
  <c r="S15" i="8"/>
  <c r="S12" i="8"/>
  <c r="S5" i="8"/>
  <c r="S8" i="8"/>
  <c r="S3" i="8"/>
  <c r="S6" i="8"/>
  <c r="S4" i="8"/>
  <c r="S18" i="4"/>
  <c r="S9" i="4"/>
  <c r="S7" i="4"/>
  <c r="S10" i="4"/>
  <c r="S14" i="7"/>
  <c r="S16" i="14"/>
  <c r="S4" i="14"/>
  <c r="S9" i="14"/>
  <c r="S6" i="14"/>
  <c r="S10" i="14"/>
  <c r="S10" i="22"/>
  <c r="S2" i="22"/>
  <c r="S18" i="11"/>
  <c r="S2" i="14"/>
  <c r="S2" i="5"/>
  <c r="S11" i="21"/>
  <c r="M31" i="21" s="1"/>
  <c r="S19" i="4"/>
  <c r="S19" i="12"/>
  <c r="S12" i="12"/>
  <c r="M22" i="12"/>
  <c r="M23" i="12"/>
  <c r="S18" i="12"/>
  <c r="S3" i="11"/>
  <c r="S18" i="14"/>
  <c r="S11" i="15"/>
  <c r="S7" i="22"/>
  <c r="S16" i="22"/>
  <c r="S18" i="21"/>
  <c r="S17" i="5"/>
  <c r="S11" i="5"/>
  <c r="M27" i="5"/>
  <c r="S13" i="5"/>
  <c r="M24" i="5"/>
  <c r="S18" i="5"/>
  <c r="S11" i="14"/>
  <c r="S11" i="10"/>
  <c r="S15" i="14"/>
  <c r="S3" i="15"/>
  <c r="S18" i="22"/>
  <c r="M26" i="20"/>
  <c r="S14" i="20"/>
  <c r="M23" i="20"/>
  <c r="S20" i="20"/>
  <c r="S11" i="20"/>
  <c r="S5" i="20"/>
  <c r="S10" i="20"/>
  <c r="S7" i="17"/>
  <c r="M28" i="17"/>
  <c r="S15" i="17"/>
  <c r="S16" i="17"/>
  <c r="S4" i="17"/>
  <c r="M23" i="17"/>
  <c r="S10" i="17"/>
  <c r="S9" i="17"/>
  <c r="S10" i="16"/>
  <c r="S11" i="16"/>
  <c r="S17" i="16"/>
  <c r="S3" i="16"/>
  <c r="S7" i="16"/>
  <c r="M25" i="16"/>
  <c r="M26" i="16"/>
  <c r="S18" i="16"/>
  <c r="S15" i="16"/>
  <c r="S13" i="16"/>
  <c r="S8" i="16"/>
  <c r="M22" i="15"/>
  <c r="S19" i="15"/>
  <c r="M26" i="15"/>
  <c r="S18" i="15"/>
  <c r="S7" i="15"/>
  <c r="M31" i="10"/>
  <c r="S12" i="10"/>
  <c r="S4" i="10"/>
  <c r="S6" i="10"/>
  <c r="M26" i="10" s="1"/>
  <c r="S18" i="10"/>
  <c r="S14" i="10"/>
  <c r="S9" i="10"/>
  <c r="M30" i="10"/>
  <c r="S13" i="10"/>
  <c r="M23" i="10"/>
  <c r="S16" i="10"/>
  <c r="S8" i="10"/>
  <c r="S5" i="10"/>
  <c r="S5" i="7"/>
  <c r="S16" i="7"/>
  <c r="S12" i="7"/>
  <c r="S13" i="7"/>
  <c r="S3" i="7"/>
  <c r="S9" i="7"/>
  <c r="S10" i="7"/>
  <c r="S7" i="7"/>
  <c r="S15" i="7"/>
  <c r="S2" i="7"/>
  <c r="S4" i="7"/>
  <c r="S4" i="22"/>
  <c r="S17" i="7"/>
  <c r="S11" i="7"/>
  <c r="S18" i="7"/>
  <c r="S14" i="14"/>
  <c r="S17" i="4"/>
  <c r="S7" i="14"/>
  <c r="S5" i="22"/>
  <c r="S17" i="21"/>
  <c r="S12" i="14"/>
  <c r="S17" i="22"/>
  <c r="S15" i="4"/>
  <c r="S6" i="7"/>
  <c r="S15" i="11"/>
  <c r="S13" i="11"/>
  <c r="S6" i="11"/>
  <c r="S11" i="11"/>
  <c r="S4" i="11"/>
  <c r="S17" i="11"/>
  <c r="S9" i="11"/>
  <c r="S7" i="11"/>
  <c r="S12" i="11"/>
  <c r="S2" i="11"/>
  <c r="S8" i="11"/>
  <c r="S10" i="11"/>
  <c r="M30" i="11" s="1"/>
  <c r="S5" i="11"/>
  <c r="M25" i="11" s="1"/>
  <c r="M22" i="19"/>
  <c r="S3" i="19"/>
  <c r="M28" i="19"/>
  <c r="S19" i="19"/>
  <c r="S10" i="19"/>
  <c r="S11" i="19"/>
  <c r="M26" i="19"/>
  <c r="M28" i="4"/>
  <c r="M28" i="22"/>
  <c r="M26" i="22"/>
  <c r="M30" i="22"/>
  <c r="M23" i="22"/>
  <c r="M29" i="22"/>
  <c r="M24" i="14"/>
  <c r="M29" i="14"/>
  <c r="M23" i="14"/>
  <c r="M28" i="7"/>
  <c r="M23" i="4"/>
  <c r="U16" i="15" l="1"/>
  <c r="V19" i="22"/>
  <c r="U19" i="22"/>
  <c r="V18" i="22"/>
  <c r="U18" i="22"/>
  <c r="V16" i="22"/>
  <c r="U16" i="22"/>
  <c r="V17" i="22"/>
  <c r="U17" i="22"/>
  <c r="V17" i="21"/>
  <c r="U17" i="21"/>
  <c r="V18" i="21"/>
  <c r="U18" i="21"/>
  <c r="U20" i="20"/>
  <c r="V20" i="20"/>
  <c r="V19" i="19"/>
  <c r="U19" i="19"/>
  <c r="V16" i="17"/>
  <c r="U16" i="17"/>
  <c r="U17" i="17"/>
  <c r="V17" i="17"/>
  <c r="U18" i="16"/>
  <c r="V18" i="16"/>
  <c r="V16" i="16"/>
  <c r="U16" i="16"/>
  <c r="V17" i="16"/>
  <c r="U17" i="16"/>
  <c r="V18" i="5"/>
  <c r="U18" i="5"/>
  <c r="U19" i="5"/>
  <c r="V19" i="5"/>
  <c r="V17" i="5"/>
  <c r="U17" i="5"/>
  <c r="V19" i="4"/>
  <c r="U19" i="4"/>
  <c r="U18" i="4"/>
  <c r="V18" i="4"/>
  <c r="V17" i="4"/>
  <c r="U17" i="4"/>
  <c r="V16" i="14"/>
  <c r="U16" i="14"/>
  <c r="V18" i="14"/>
  <c r="U18" i="14"/>
  <c r="U19" i="12"/>
  <c r="V19" i="12"/>
  <c r="V18" i="12"/>
  <c r="U18" i="12"/>
  <c r="V16" i="11"/>
  <c r="U16" i="11"/>
  <c r="U17" i="11"/>
  <c r="V17" i="11"/>
  <c r="V18" i="11"/>
  <c r="U18" i="11"/>
  <c r="V18" i="10"/>
  <c r="U18" i="10"/>
  <c r="V17" i="10"/>
  <c r="U17" i="10"/>
  <c r="V19" i="9"/>
  <c r="U19" i="9"/>
  <c r="U17" i="9"/>
  <c r="V17" i="9"/>
  <c r="V16" i="8"/>
  <c r="U16" i="8"/>
  <c r="U17" i="8"/>
  <c r="V17" i="8"/>
  <c r="V19" i="8"/>
  <c r="U19" i="8"/>
  <c r="V18" i="8"/>
  <c r="U18" i="8"/>
  <c r="M26" i="7"/>
  <c r="U6" i="7"/>
  <c r="V6" i="7"/>
  <c r="V5" i="7"/>
  <c r="U5" i="7"/>
  <c r="U11" i="7"/>
  <c r="V11" i="7"/>
  <c r="V12" i="7"/>
  <c r="U12" i="7"/>
  <c r="V4" i="7"/>
  <c r="U4" i="7"/>
  <c r="V13" i="7"/>
  <c r="U13" i="7"/>
  <c r="V17" i="7"/>
  <c r="U17" i="7"/>
  <c r="U16" i="7"/>
  <c r="V16" i="7"/>
  <c r="U14" i="7"/>
  <c r="V14" i="7"/>
  <c r="M22" i="7"/>
  <c r="V2" i="7"/>
  <c r="U2" i="7"/>
  <c r="V15" i="7"/>
  <c r="U15" i="7"/>
  <c r="V7" i="7"/>
  <c r="U7" i="7"/>
  <c r="M30" i="7"/>
  <c r="V10" i="7"/>
  <c r="U10" i="7"/>
  <c r="U9" i="7"/>
  <c r="V9" i="7"/>
  <c r="V18" i="7"/>
  <c r="U18" i="7"/>
  <c r="V3" i="7"/>
  <c r="U3" i="7"/>
  <c r="U14" i="20"/>
  <c r="V14" i="20"/>
  <c r="V16" i="10"/>
  <c r="U16" i="10"/>
  <c r="V17" i="15"/>
  <c r="U17" i="15"/>
  <c r="M31" i="15"/>
  <c r="V11" i="15"/>
  <c r="U11" i="15"/>
  <c r="V19" i="15"/>
  <c r="U19" i="15"/>
  <c r="V7" i="15"/>
  <c r="U7" i="15"/>
  <c r="V18" i="15"/>
  <c r="U18" i="15"/>
  <c r="V3" i="15"/>
  <c r="U3" i="15"/>
  <c r="V4" i="15"/>
  <c r="U4" i="15"/>
  <c r="M23" i="15"/>
  <c r="M27" i="17"/>
  <c r="M30" i="16"/>
  <c r="M23" i="16"/>
  <c r="M23" i="18"/>
  <c r="M32" i="18" s="1"/>
  <c r="M31" i="13"/>
  <c r="M26" i="13"/>
  <c r="M22" i="13"/>
  <c r="M32" i="13" s="1"/>
  <c r="M29" i="4"/>
  <c r="M29" i="12"/>
  <c r="M29" i="9"/>
  <c r="M25" i="9"/>
  <c r="M32" i="9" s="1"/>
  <c r="M22" i="5"/>
  <c r="M28" i="12"/>
  <c r="M23" i="8"/>
  <c r="M28" i="8"/>
  <c r="M25" i="8"/>
  <c r="M24" i="8"/>
  <c r="M26" i="8"/>
  <c r="M27" i="4"/>
  <c r="M31" i="4" s="1"/>
  <c r="M30" i="4"/>
  <c r="M25" i="7"/>
  <c r="M26" i="14"/>
  <c r="M22" i="14"/>
  <c r="M31" i="5"/>
  <c r="M30" i="20"/>
  <c r="M31" i="20"/>
  <c r="M25" i="20"/>
  <c r="M32" i="20" s="1"/>
  <c r="M30" i="17"/>
  <c r="M29" i="17"/>
  <c r="M24" i="17"/>
  <c r="M27" i="16"/>
  <c r="M31" i="16"/>
  <c r="M28" i="16"/>
  <c r="M27" i="15"/>
  <c r="M32" i="15" s="1"/>
  <c r="M24" i="10"/>
  <c r="M27" i="10"/>
  <c r="M28" i="10"/>
  <c r="M25" i="10"/>
  <c r="M29" i="10"/>
  <c r="M24" i="7"/>
  <c r="M23" i="7"/>
  <c r="M24" i="22"/>
  <c r="M22" i="4"/>
  <c r="M26" i="11"/>
  <c r="M25" i="22"/>
  <c r="M31" i="19"/>
  <c r="M29" i="11"/>
  <c r="M30" i="19"/>
  <c r="M23" i="19"/>
  <c r="M29" i="19"/>
  <c r="M25" i="19"/>
  <c r="M23" i="11"/>
  <c r="M22" i="11"/>
  <c r="M27" i="21"/>
  <c r="M29" i="21"/>
  <c r="M23" i="21"/>
  <c r="M22" i="22"/>
  <c r="M27" i="22"/>
  <c r="M22" i="21"/>
  <c r="M30" i="21"/>
  <c r="M25" i="21"/>
  <c r="M30" i="14"/>
  <c r="M27" i="14"/>
  <c r="M28" i="11"/>
  <c r="M27" i="11"/>
  <c r="M24" i="11"/>
  <c r="M29" i="7"/>
  <c r="M27" i="7"/>
  <c r="M31" i="14" l="1"/>
  <c r="M32" i="12"/>
  <c r="M31" i="22"/>
  <c r="M31" i="17"/>
  <c r="M32" i="19"/>
  <c r="M32" i="10"/>
  <c r="M31" i="7"/>
  <c r="M32" i="21"/>
  <c r="M32" i="5"/>
  <c r="M32" i="8"/>
  <c r="M32" i="16"/>
  <c r="M31" i="11"/>
</calcChain>
</file>

<file path=xl/sharedStrings.xml><?xml version="1.0" encoding="utf-8"?>
<sst xmlns="http://schemas.openxmlformats.org/spreadsheetml/2006/main" count="1477" uniqueCount="99">
  <si>
    <t>Date</t>
  </si>
  <si>
    <t>Away</t>
  </si>
  <si>
    <t>Home</t>
  </si>
  <si>
    <t>pt_spread</t>
  </si>
  <si>
    <t>Syracuse</t>
  </si>
  <si>
    <t>Virginia</t>
  </si>
  <si>
    <t>NA</t>
  </si>
  <si>
    <t>Louisville</t>
  </si>
  <si>
    <t>Wake Forest</t>
  </si>
  <si>
    <t>Virginia Tech</t>
  </si>
  <si>
    <t>NC State</t>
  </si>
  <si>
    <t>Miami</t>
  </si>
  <si>
    <t>Boston College</t>
  </si>
  <si>
    <t>SMU</t>
  </si>
  <si>
    <t>Pitt</t>
  </si>
  <si>
    <t>Florida State</t>
  </si>
  <si>
    <t>Notre Dame</t>
  </si>
  <si>
    <t>Duke</t>
  </si>
  <si>
    <t>North Carolina</t>
  </si>
  <si>
    <t>Clemson</t>
  </si>
  <si>
    <t>California</t>
  </si>
  <si>
    <t>Georgia Tech</t>
  </si>
  <si>
    <t>Stanford</t>
  </si>
  <si>
    <t>Baylor</t>
  </si>
  <si>
    <t>Ohio State</t>
  </si>
  <si>
    <t>Michigan</t>
  </si>
  <si>
    <t>ci_lb</t>
  </si>
  <si>
    <t>ci_ub</t>
  </si>
  <si>
    <t>OffEff</t>
  </si>
  <si>
    <t xml:space="preserve">DefEff </t>
  </si>
  <si>
    <t>Torvik</t>
  </si>
  <si>
    <t>Pace</t>
  </si>
  <si>
    <t>FGA-OR+TO+(0.475*FTA)</t>
  </si>
  <si>
    <t>ACC OffEff</t>
  </si>
  <si>
    <t>B10 OffEff</t>
  </si>
  <si>
    <t>B12 OffEfff</t>
  </si>
  <si>
    <t>Rk</t>
  </si>
  <si>
    <t>Gtm</t>
  </si>
  <si>
    <t>Opp</t>
  </si>
  <si>
    <t>FGA</t>
  </si>
  <si>
    <t>FTA</t>
  </si>
  <si>
    <t>ORB</t>
  </si>
  <si>
    <t>TOV</t>
  </si>
  <si>
    <t>@</t>
  </si>
  <si>
    <t>WEIGHTED AVERAGES</t>
  </si>
  <si>
    <t>PACE</t>
  </si>
  <si>
    <t>Miami (FL)</t>
  </si>
  <si>
    <t>use python (.evm) function</t>
  </si>
  <si>
    <t>Pittsburgh</t>
  </si>
  <si>
    <t>TCU</t>
  </si>
  <si>
    <t>Iowa State</t>
  </si>
  <si>
    <t>Houston</t>
  </si>
  <si>
    <t>Oklahoma State</t>
  </si>
  <si>
    <t>Kansas</t>
  </si>
  <si>
    <t>Texas Tech</t>
  </si>
  <si>
    <t>Cincinnati</t>
  </si>
  <si>
    <t>West Virginia</t>
  </si>
  <si>
    <t>Colorado</t>
  </si>
  <si>
    <t>Rutgers</t>
  </si>
  <si>
    <t>Nebraska</t>
  </si>
  <si>
    <t>Oregon</t>
  </si>
  <si>
    <t>Washington</t>
  </si>
  <si>
    <t>UCLA</t>
  </si>
  <si>
    <t>Minnesota</t>
  </si>
  <si>
    <t>Penn State</t>
  </si>
  <si>
    <t>Wisconsin</t>
  </si>
  <si>
    <t>Maryland</t>
  </si>
  <si>
    <t>Oeff - Adj</t>
  </si>
  <si>
    <t>Deff - Adj</t>
  </si>
  <si>
    <t>Southern California</t>
  </si>
  <si>
    <t>Indiana</t>
  </si>
  <si>
    <t>Michigan State</t>
  </si>
  <si>
    <t>Tm</t>
  </si>
  <si>
    <t>Margin</t>
  </si>
  <si>
    <t>Opp Oeff</t>
  </si>
  <si>
    <t>Opp Deff</t>
  </si>
  <si>
    <t>Opp Pace</t>
  </si>
  <si>
    <t>Matchup Pace</t>
  </si>
  <si>
    <t>ACC Oeff</t>
  </si>
  <si>
    <t>ACC Pace</t>
  </si>
  <si>
    <t>Actual Margin</t>
  </si>
  <si>
    <t>N/A</t>
  </si>
  <si>
    <t>Error</t>
  </si>
  <si>
    <t>Total</t>
  </si>
  <si>
    <t>RMSE</t>
  </si>
  <si>
    <t>N</t>
  </si>
  <si>
    <t>Team A Score (Home)</t>
  </si>
  <si>
    <t>Team B Score (Away)</t>
  </si>
  <si>
    <t>B12 Oeff</t>
  </si>
  <si>
    <t>B12 Pace</t>
  </si>
  <si>
    <t>B10 Oeff</t>
  </si>
  <si>
    <t>B10 Pace</t>
  </si>
  <si>
    <t>n</t>
  </si>
  <si>
    <t>Sum of Errors</t>
  </si>
  <si>
    <t>Average Oeff</t>
  </si>
  <si>
    <t>Average Pace</t>
  </si>
  <si>
    <t>Prediction interval Low</t>
  </si>
  <si>
    <t>Prediction Interval High</t>
  </si>
  <si>
    <t>**In neutral sites, the ACC team is designated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</si>
</sst>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ptos Narrow"/>
    </font>
    <font>
      <b/>
      <sz val="10"/>
      <color rgb="FF000000"/>
      <name val="Aptos Narrow"/>
    </font>
    <font>
      <sz val="12"/>
      <color rgb="FF000000"/>
      <name val="Aptos Narrow"/>
    </font>
    <font>
      <b/>
      <sz val="10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DBF8"/>
        <bgColor indexed="64"/>
      </patternFill>
    </fill>
  </fills>
  <borders count="1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 applyAlignment="1">
      <alignment horizontal="right"/>
    </xf>
    <xf numFmtId="0" fontId="2" fillId="3" borderId="0" xfId="0" applyFont="1" applyFill="1"/>
    <xf numFmtId="164" fontId="2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6" fillId="0" borderId="0" xfId="0" applyFont="1"/>
    <xf numFmtId="14" fontId="6" fillId="0" borderId="0" xfId="0" applyNumberFormat="1" applyFont="1"/>
    <xf numFmtId="0" fontId="8" fillId="0" borderId="0" xfId="0" applyFont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6" xfId="0" applyFont="1" applyBorder="1"/>
    <xf numFmtId="0" fontId="6" fillId="0" borderId="2" xfId="0" applyFont="1" applyBorder="1"/>
    <xf numFmtId="0" fontId="8" fillId="0" borderId="2" xfId="0" applyFont="1" applyBorder="1"/>
    <xf numFmtId="0" fontId="7" fillId="0" borderId="5" xfId="0" applyFont="1" applyBorder="1"/>
    <xf numFmtId="0" fontId="8" fillId="0" borderId="4" xfId="0" applyFont="1" applyBorder="1"/>
    <xf numFmtId="14" fontId="6" fillId="0" borderId="4" xfId="0" applyNumberFormat="1" applyFont="1" applyBorder="1"/>
    <xf numFmtId="0" fontId="6" fillId="0" borderId="4" xfId="0" applyFont="1" applyBorder="1"/>
    <xf numFmtId="0" fontId="8" fillId="0" borderId="3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0" xfId="0" applyFont="1" applyBorder="1"/>
    <xf numFmtId="0" fontId="0" fillId="0" borderId="10" xfId="0" applyBorder="1" applyAlignment="1">
      <alignment horizontal="center"/>
    </xf>
    <xf numFmtId="0" fontId="2" fillId="4" borderId="0" xfId="0" applyFont="1" applyFill="1" applyAlignment="1">
      <alignment horizontal="center" wrapText="1"/>
    </xf>
    <xf numFmtId="0" fontId="0" fillId="0" borderId="2" xfId="0" applyBorder="1"/>
    <xf numFmtId="0" fontId="6" fillId="0" borderId="3" xfId="0" applyFont="1" applyBorder="1"/>
    <xf numFmtId="0" fontId="4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" xfId="0" applyFont="1" applyBorder="1" applyAlignment="1">
      <alignment vertical="top"/>
    </xf>
    <xf numFmtId="0" fontId="2" fillId="5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6" borderId="0" xfId="0" applyFont="1" applyFill="1"/>
    <xf numFmtId="0" fontId="0" fillId="6" borderId="0" xfId="0" applyFill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DBF8"/>
      <color rgb="FFC5D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topLeftCell="A48" zoomScale="132" workbookViewId="0">
      <selection activeCell="H58" sqref="H58"/>
    </sheetView>
  </sheetViews>
  <sheetFormatPr baseColWidth="10" defaultColWidth="12.6640625" defaultRowHeight="15.75" customHeight="1"/>
  <sheetData>
    <row r="1" spans="1:6" ht="15.75" customHeight="1">
      <c r="A1" s="1" t="s">
        <v>0</v>
      </c>
      <c r="B1" s="1" t="s">
        <v>1</v>
      </c>
      <c r="C1" s="1" t="s">
        <v>2</v>
      </c>
      <c r="D1" s="2" t="s">
        <v>3</v>
      </c>
      <c r="E1" s="46" t="s">
        <v>26</v>
      </c>
      <c r="F1" s="46" t="s">
        <v>27</v>
      </c>
    </row>
    <row r="2" spans="1:6" ht="15.75" customHeight="1">
      <c r="A2" s="3">
        <v>46060</v>
      </c>
      <c r="B2" s="1" t="s">
        <v>4</v>
      </c>
      <c r="C2" s="1" t="s">
        <v>5</v>
      </c>
      <c r="D2" s="4">
        <v>13.260648339999999</v>
      </c>
      <c r="E2" s="47">
        <v>3.0132221517935065</v>
      </c>
      <c r="F2" s="47">
        <v>23.508074528206492</v>
      </c>
    </row>
    <row r="3" spans="1:6" ht="15.75" customHeight="1">
      <c r="A3" s="3">
        <v>46060</v>
      </c>
      <c r="B3" s="1" t="s">
        <v>7</v>
      </c>
      <c r="C3" s="1" t="s">
        <v>8</v>
      </c>
      <c r="D3" s="4">
        <v>-7.6229521800000004</v>
      </c>
      <c r="E3" s="47">
        <v>-17.870378368206495</v>
      </c>
      <c r="F3" s="47">
        <v>2.6244740082064926</v>
      </c>
    </row>
    <row r="4" spans="1:6" ht="15.75" customHeight="1">
      <c r="A4" s="3">
        <v>46060</v>
      </c>
      <c r="B4" s="1" t="s">
        <v>9</v>
      </c>
      <c r="C4" s="1" t="s">
        <v>10</v>
      </c>
      <c r="D4" s="4">
        <v>9.9267526440000005</v>
      </c>
      <c r="E4" s="47">
        <v>-0.32067354420649252</v>
      </c>
      <c r="F4" s="47">
        <v>20.174178832206493</v>
      </c>
    </row>
    <row r="5" spans="1:6" ht="15.75" customHeight="1">
      <c r="A5" s="3">
        <v>46060</v>
      </c>
      <c r="B5" s="1" t="s">
        <v>11</v>
      </c>
      <c r="C5" s="1" t="s">
        <v>12</v>
      </c>
      <c r="D5" s="4">
        <v>-2.3606503000000001</v>
      </c>
      <c r="E5" s="47">
        <v>-12.608076488206493</v>
      </c>
      <c r="F5" s="47">
        <v>7.8867758882064933</v>
      </c>
    </row>
    <row r="6" spans="1:6" ht="15.75" customHeight="1">
      <c r="A6" s="3">
        <v>46060</v>
      </c>
      <c r="B6" s="1" t="s">
        <v>13</v>
      </c>
      <c r="C6" s="1" t="s">
        <v>14</v>
      </c>
      <c r="D6" s="4">
        <v>-7.9825357700000001</v>
      </c>
      <c r="E6" s="47">
        <v>-18.229961958206495</v>
      </c>
      <c r="F6" s="47">
        <v>2.2648904182064928</v>
      </c>
    </row>
    <row r="7" spans="1:6" ht="15.75" customHeight="1">
      <c r="A7" s="3">
        <v>46060</v>
      </c>
      <c r="B7" s="1" t="s">
        <v>15</v>
      </c>
      <c r="C7" s="1" t="s">
        <v>16</v>
      </c>
      <c r="D7" s="4">
        <v>-0.24912878999999999</v>
      </c>
      <c r="E7" s="47">
        <v>-10.496554978206493</v>
      </c>
      <c r="F7" s="47">
        <v>9.9982973982064927</v>
      </c>
    </row>
    <row r="8" spans="1:6" ht="15.75" customHeight="1">
      <c r="A8" s="3">
        <v>46060</v>
      </c>
      <c r="B8" s="1" t="s">
        <v>17</v>
      </c>
      <c r="C8" s="1" t="s">
        <v>18</v>
      </c>
      <c r="D8" s="4">
        <v>-5.2843096000000003</v>
      </c>
      <c r="E8" s="47">
        <v>-15.531735788206493</v>
      </c>
      <c r="F8" s="47">
        <v>4.9631165882064927</v>
      </c>
    </row>
    <row r="9" spans="1:6" ht="15.75" customHeight="1">
      <c r="A9" s="3">
        <v>46060</v>
      </c>
      <c r="B9" s="1" t="s">
        <v>19</v>
      </c>
      <c r="C9" s="1" t="s">
        <v>20</v>
      </c>
      <c r="D9" s="4">
        <v>-4.9456429999999996</v>
      </c>
      <c r="E9" s="47">
        <v>-15.193069188206493</v>
      </c>
      <c r="F9" s="47">
        <v>5.3017831882064934</v>
      </c>
    </row>
    <row r="10" spans="1:6" ht="15.75" customHeight="1">
      <c r="A10" s="3">
        <v>46060</v>
      </c>
      <c r="B10" s="1" t="s">
        <v>21</v>
      </c>
      <c r="C10" s="1" t="s">
        <v>22</v>
      </c>
      <c r="D10" s="4">
        <v>4.2265471200000002</v>
      </c>
      <c r="E10" s="47">
        <v>-6.0208790682064928</v>
      </c>
      <c r="F10" s="47">
        <v>14.473973308206492</v>
      </c>
    </row>
    <row r="11" spans="1:6" ht="15.75" customHeight="1">
      <c r="A11" s="3">
        <v>46062</v>
      </c>
      <c r="B11" s="1" t="s">
        <v>10</v>
      </c>
      <c r="C11" s="1" t="s">
        <v>7</v>
      </c>
      <c r="D11" s="4">
        <v>3.2312624099999998</v>
      </c>
      <c r="E11" s="47">
        <v>-7.0161637782064936</v>
      </c>
      <c r="F11" s="47">
        <v>13.478688598206492</v>
      </c>
    </row>
    <row r="12" spans="1:6" ht="15.75" customHeight="1">
      <c r="A12" s="3">
        <v>46063</v>
      </c>
      <c r="B12" s="1" t="s">
        <v>5</v>
      </c>
      <c r="C12" s="1" t="s">
        <v>15</v>
      </c>
      <c r="D12" s="4">
        <v>-7.5960896299999998</v>
      </c>
      <c r="E12" s="47">
        <v>-17.843515818206491</v>
      </c>
      <c r="F12" s="47">
        <v>2.6513365582064932</v>
      </c>
    </row>
    <row r="13" spans="1:6" ht="15.75" customHeight="1">
      <c r="A13" s="3">
        <v>46063</v>
      </c>
      <c r="B13" s="1" t="s">
        <v>18</v>
      </c>
      <c r="C13" s="1" t="s">
        <v>11</v>
      </c>
      <c r="D13" s="4">
        <v>-0.473776845</v>
      </c>
      <c r="E13" s="47">
        <v>-10.721203033206493</v>
      </c>
      <c r="F13" s="47">
        <v>9.7736493432064933</v>
      </c>
    </row>
    <row r="14" spans="1:6" ht="15.75" customHeight="1">
      <c r="A14" s="3">
        <v>46063</v>
      </c>
      <c r="B14" s="1" t="s">
        <v>16</v>
      </c>
      <c r="C14" s="1" t="s">
        <v>13</v>
      </c>
      <c r="D14" s="4">
        <v>11.657249500000001</v>
      </c>
      <c r="E14" s="47">
        <v>1.4098233117935077</v>
      </c>
      <c r="F14" s="47">
        <v>21.904675688206495</v>
      </c>
    </row>
    <row r="15" spans="1:6" ht="15.75" customHeight="1">
      <c r="A15" s="3">
        <v>46063</v>
      </c>
      <c r="B15" s="1" t="s">
        <v>17</v>
      </c>
      <c r="C15" s="1" t="s">
        <v>14</v>
      </c>
      <c r="D15" s="4">
        <f>-15.478531</f>
        <v>-15.478531</v>
      </c>
      <c r="E15" s="47">
        <v>-25.725957188206493</v>
      </c>
      <c r="F15" s="47">
        <v>-5.2311048117935073</v>
      </c>
    </row>
    <row r="16" spans="1:6" ht="15.75" customHeight="1">
      <c r="A16" s="3">
        <v>46064</v>
      </c>
      <c r="B16" s="1" t="s">
        <v>9</v>
      </c>
      <c r="C16" s="1" t="s">
        <v>19</v>
      </c>
      <c r="D16" s="4">
        <v>9.9666785289999993</v>
      </c>
      <c r="E16" s="47">
        <v>-0.28074765920649369</v>
      </c>
      <c r="F16" s="47">
        <v>20.214104717206492</v>
      </c>
    </row>
    <row r="17" spans="1:6" ht="15.75" customHeight="1">
      <c r="A17" s="3">
        <v>46064</v>
      </c>
      <c r="B17" s="1" t="s">
        <v>20</v>
      </c>
      <c r="C17" s="1" t="s">
        <v>4</v>
      </c>
      <c r="D17" s="4">
        <v>3.5589912099999998</v>
      </c>
      <c r="E17" s="47">
        <v>-6.6884349782064927</v>
      </c>
      <c r="F17" s="47">
        <v>13.806417398206493</v>
      </c>
    </row>
    <row r="18" spans="1:6" ht="15.75" customHeight="1">
      <c r="A18" s="3">
        <v>46064</v>
      </c>
      <c r="B18" s="1" t="s">
        <v>22</v>
      </c>
      <c r="C18" s="1" t="s">
        <v>12</v>
      </c>
      <c r="D18" s="4">
        <v>1.9324428199999999</v>
      </c>
      <c r="E18" s="47">
        <v>-8.3149833682064926</v>
      </c>
      <c r="F18" s="47">
        <v>12.179869008206493</v>
      </c>
    </row>
    <row r="19" spans="1:6" ht="15.75" customHeight="1">
      <c r="A19" s="3">
        <v>46064</v>
      </c>
      <c r="B19" s="1" t="s">
        <v>8</v>
      </c>
      <c r="C19" s="1" t="s">
        <v>21</v>
      </c>
      <c r="D19" s="4">
        <v>-0.59692860000000003</v>
      </c>
      <c r="E19" s="47">
        <v>-10.844354788206493</v>
      </c>
      <c r="F19" s="47">
        <v>9.6504975882064929</v>
      </c>
    </row>
    <row r="20" spans="1:6" ht="15.75" customHeight="1">
      <c r="A20" s="3">
        <v>46067</v>
      </c>
      <c r="B20" s="1" t="s">
        <v>19</v>
      </c>
      <c r="C20" s="1" t="s">
        <v>17</v>
      </c>
      <c r="D20" s="4">
        <v>8.80914924</v>
      </c>
      <c r="E20" s="47">
        <v>-1.438276948206493</v>
      </c>
      <c r="F20" s="47">
        <v>19.056575428206493</v>
      </c>
    </row>
    <row r="21" spans="1:6" ht="15.75" customHeight="1">
      <c r="A21" s="3">
        <v>46067</v>
      </c>
      <c r="B21" s="1" t="s">
        <v>21</v>
      </c>
      <c r="C21" s="1" t="s">
        <v>16</v>
      </c>
      <c r="D21" s="4">
        <v>4.14987306</v>
      </c>
      <c r="E21" s="47">
        <v>-6.097553128206493</v>
      </c>
      <c r="F21" s="47">
        <v>14.397299248206494</v>
      </c>
    </row>
    <row r="22" spans="1:6" ht="15.75" customHeight="1">
      <c r="A22" s="3">
        <v>46067</v>
      </c>
      <c r="B22" s="1" t="s">
        <v>20</v>
      </c>
      <c r="C22" s="1" t="s">
        <v>12</v>
      </c>
      <c r="D22" s="4">
        <v>-0.51705140000000005</v>
      </c>
      <c r="E22" s="47">
        <v>-10.764477588206493</v>
      </c>
      <c r="F22" s="47">
        <v>9.7303747882064933</v>
      </c>
    </row>
    <row r="23" spans="1:6" ht="15.75" customHeight="1">
      <c r="A23" s="3">
        <v>46067</v>
      </c>
      <c r="B23" s="1" t="s">
        <v>15</v>
      </c>
      <c r="C23" s="1" t="s">
        <v>9</v>
      </c>
      <c r="D23" s="4">
        <v>5.14123485</v>
      </c>
      <c r="E23" s="47">
        <v>-5.106191338206493</v>
      </c>
      <c r="F23" s="47">
        <v>15.388661038206493</v>
      </c>
    </row>
    <row r="24" spans="1:6" ht="15.75" customHeight="1">
      <c r="A24" s="3">
        <v>46067</v>
      </c>
      <c r="B24" s="1" t="s">
        <v>14</v>
      </c>
      <c r="C24" s="1" t="s">
        <v>18</v>
      </c>
      <c r="D24" s="4">
        <v>14.824054309999999</v>
      </c>
      <c r="E24" s="47">
        <v>4.5766281217935063</v>
      </c>
      <c r="F24" s="47">
        <v>25.07148049820649</v>
      </c>
    </row>
    <row r="25" spans="1:6" ht="15.75" customHeight="1">
      <c r="A25" s="3">
        <v>46067</v>
      </c>
      <c r="B25" s="1" t="s">
        <v>13</v>
      </c>
      <c r="C25" s="1" t="s">
        <v>4</v>
      </c>
      <c r="D25" s="4">
        <v>-2.4719788700000001</v>
      </c>
      <c r="E25" s="47">
        <v>-12.719405058206494</v>
      </c>
      <c r="F25" s="47">
        <v>7.7754473182064929</v>
      </c>
    </row>
    <row r="26" spans="1:6" ht="15.75" customHeight="1">
      <c r="A26" s="3">
        <v>46067</v>
      </c>
      <c r="B26" s="1" t="s">
        <v>11</v>
      </c>
      <c r="C26" s="1" t="s">
        <v>10</v>
      </c>
      <c r="D26" s="4">
        <v>9.9106708979999993</v>
      </c>
      <c r="E26" s="47">
        <v>-0.33675529020649364</v>
      </c>
      <c r="F26" s="47">
        <v>20.158097086206492</v>
      </c>
    </row>
    <row r="27" spans="1:6" ht="15.75" customHeight="1">
      <c r="A27" s="3">
        <v>46067</v>
      </c>
      <c r="B27" s="1" t="s">
        <v>22</v>
      </c>
      <c r="C27" s="1" t="s">
        <v>8</v>
      </c>
      <c r="D27" s="4">
        <v>2.9714582300000001</v>
      </c>
      <c r="E27" s="47">
        <v>-7.2759679582064933</v>
      </c>
      <c r="F27" s="47">
        <v>13.218884418206493</v>
      </c>
    </row>
    <row r="28" spans="1:6" ht="15.75" customHeight="1">
      <c r="A28" s="3">
        <v>46067</v>
      </c>
      <c r="B28" s="1" t="s">
        <v>23</v>
      </c>
      <c r="C28" s="1" t="s">
        <v>7</v>
      </c>
      <c r="D28" s="4">
        <v>13.3186176</v>
      </c>
      <c r="E28" s="47">
        <v>3.0711914117935066</v>
      </c>
      <c r="F28" s="47">
        <v>23.566043788206493</v>
      </c>
    </row>
    <row r="29" spans="1:6" ht="15.75" customHeight="1">
      <c r="A29" s="3">
        <v>46067</v>
      </c>
      <c r="B29" s="1" t="s">
        <v>24</v>
      </c>
      <c r="C29" s="1" t="s">
        <v>5</v>
      </c>
      <c r="D29" s="4">
        <v>8.4150807299999997</v>
      </c>
      <c r="E29" s="47">
        <v>-1.83234545</v>
      </c>
      <c r="F29" s="47">
        <v>18.662506919999998</v>
      </c>
    </row>
    <row r="30" spans="1:6" ht="15.75" customHeight="1">
      <c r="A30" s="3">
        <v>46069</v>
      </c>
      <c r="B30" s="1" t="s">
        <v>4</v>
      </c>
      <c r="C30" s="1" t="s">
        <v>17</v>
      </c>
      <c r="D30" s="4">
        <v>18.114941200000001</v>
      </c>
      <c r="E30" s="47">
        <v>7.8675150117935075</v>
      </c>
      <c r="F30" s="47">
        <v>28.362367388206494</v>
      </c>
    </row>
    <row r="31" spans="1:6" ht="15.75" customHeight="1">
      <c r="A31" s="3">
        <v>46070</v>
      </c>
      <c r="B31" s="1" t="s">
        <v>12</v>
      </c>
      <c r="C31" s="1" t="s">
        <v>15</v>
      </c>
      <c r="D31" s="4">
        <v>5.60197579</v>
      </c>
      <c r="E31" s="47">
        <v>-4.645450398206493</v>
      </c>
      <c r="F31" s="47">
        <v>15.849401978206494</v>
      </c>
    </row>
    <row r="32" spans="1:6" ht="15.75" customHeight="1">
      <c r="A32" s="3">
        <v>46070</v>
      </c>
      <c r="B32" s="1" t="s">
        <v>18</v>
      </c>
      <c r="C32" s="1" t="s">
        <v>10</v>
      </c>
      <c r="D32" s="4">
        <v>6.3694591120000004</v>
      </c>
      <c r="E32" s="47">
        <v>-3.8779670762064926</v>
      </c>
      <c r="F32" s="47">
        <v>16.616885300206494</v>
      </c>
    </row>
    <row r="33" spans="1:6" ht="15.75" customHeight="1">
      <c r="A33" s="3">
        <v>46070</v>
      </c>
      <c r="B33" s="1" t="s">
        <v>7</v>
      </c>
      <c r="C33" s="1" t="s">
        <v>13</v>
      </c>
      <c r="D33" s="4">
        <v>1.2416532199999999</v>
      </c>
      <c r="E33" s="47">
        <v>-9.0057729682064931</v>
      </c>
      <c r="F33" s="47">
        <v>11.489079408206493</v>
      </c>
    </row>
    <row r="34" spans="1:6" ht="15.75" customHeight="1">
      <c r="A34" s="3">
        <v>46070</v>
      </c>
      <c r="B34" s="1" t="s">
        <v>9</v>
      </c>
      <c r="C34" s="1" t="s">
        <v>11</v>
      </c>
      <c r="D34" s="4">
        <v>3.6954867079999998</v>
      </c>
      <c r="E34" s="47">
        <v>-6.5519394802064932</v>
      </c>
      <c r="F34" s="47">
        <v>13.942912896206494</v>
      </c>
    </row>
    <row r="35" spans="1:6" ht="15.75" customHeight="1">
      <c r="A35" s="3">
        <v>46071</v>
      </c>
      <c r="B35" s="1" t="s">
        <v>19</v>
      </c>
      <c r="C35" s="1" t="s">
        <v>8</v>
      </c>
      <c r="D35" s="4">
        <v>-7.32325537</v>
      </c>
      <c r="E35" s="47">
        <v>-17.570681558206495</v>
      </c>
      <c r="F35" s="47">
        <v>2.9241708182064929</v>
      </c>
    </row>
    <row r="36" spans="1:6" ht="15.75" customHeight="1">
      <c r="A36" s="3">
        <v>46071</v>
      </c>
      <c r="B36" s="1" t="s">
        <v>5</v>
      </c>
      <c r="C36" s="1" t="s">
        <v>21</v>
      </c>
      <c r="D36" s="4">
        <v>-12.071635000000001</v>
      </c>
      <c r="E36" s="47">
        <v>-22.319061188206494</v>
      </c>
      <c r="F36" s="47">
        <v>-1.8242088117935076</v>
      </c>
    </row>
    <row r="37" spans="1:6" ht="15.75" customHeight="1">
      <c r="A37" s="3">
        <v>46074</v>
      </c>
      <c r="B37" s="1" t="s">
        <v>8</v>
      </c>
      <c r="C37" s="1" t="s">
        <v>9</v>
      </c>
      <c r="D37" s="4">
        <v>6.8657498099999996</v>
      </c>
      <c r="E37" s="47">
        <v>-3.3816763782064934</v>
      </c>
      <c r="F37" s="47">
        <v>17.113175998206493</v>
      </c>
    </row>
    <row r="38" spans="1:6" ht="15.75" customHeight="1">
      <c r="A38" s="3">
        <v>46074</v>
      </c>
      <c r="B38" s="1" t="s">
        <v>15</v>
      </c>
      <c r="C38" s="1" t="s">
        <v>19</v>
      </c>
      <c r="D38" s="4">
        <v>12.110381950000001</v>
      </c>
      <c r="E38" s="47">
        <v>1.8629557617935077</v>
      </c>
      <c r="F38" s="47">
        <v>22.357808138206494</v>
      </c>
    </row>
    <row r="39" spans="1:6" ht="15.75" customHeight="1">
      <c r="A39" s="3">
        <v>46074</v>
      </c>
      <c r="B39" s="1" t="s">
        <v>18</v>
      </c>
      <c r="C39" s="1" t="s">
        <v>4</v>
      </c>
      <c r="D39" s="4">
        <v>-2.6664179020000001</v>
      </c>
      <c r="E39" s="47">
        <v>-12.913844090206492</v>
      </c>
      <c r="F39" s="47">
        <v>7.5810082862064929</v>
      </c>
    </row>
    <row r="40" spans="1:6" ht="15.75" customHeight="1">
      <c r="A40" s="3">
        <v>46074</v>
      </c>
      <c r="B40" s="1" t="s">
        <v>16</v>
      </c>
      <c r="C40" s="1" t="s">
        <v>14</v>
      </c>
      <c r="D40" s="4">
        <v>0.93261601000000005</v>
      </c>
      <c r="E40" s="47">
        <v>-9.3148101782064927</v>
      </c>
      <c r="F40" s="47">
        <v>11.180042198206493</v>
      </c>
    </row>
    <row r="41" spans="1:6" ht="15.75" customHeight="1">
      <c r="A41" s="3">
        <v>46074</v>
      </c>
      <c r="B41" s="1" t="s">
        <v>11</v>
      </c>
      <c r="C41" s="1" t="s">
        <v>5</v>
      </c>
      <c r="D41" s="4">
        <v>11.692703079999999</v>
      </c>
      <c r="E41" s="47">
        <v>1.4452768917935064</v>
      </c>
      <c r="F41" s="47">
        <v>21.940129268206491</v>
      </c>
    </row>
    <row r="42" spans="1:6" ht="15.75" customHeight="1">
      <c r="A42" s="3">
        <v>46074</v>
      </c>
      <c r="B42" s="1" t="s">
        <v>21</v>
      </c>
      <c r="C42" s="1" t="s">
        <v>7</v>
      </c>
      <c r="D42" s="4">
        <v>16.387218799999999</v>
      </c>
      <c r="E42" s="47">
        <v>6.1397926117935064</v>
      </c>
      <c r="F42" s="47">
        <v>26.634644988206492</v>
      </c>
    </row>
    <row r="43" spans="1:6" ht="15.75" customHeight="1">
      <c r="A43" s="3">
        <v>46074</v>
      </c>
      <c r="B43" s="1" t="s">
        <v>12</v>
      </c>
      <c r="C43" s="1" t="s">
        <v>13</v>
      </c>
      <c r="D43" s="4">
        <v>11.917365</v>
      </c>
      <c r="E43" s="47">
        <v>1.6699388117935072</v>
      </c>
      <c r="F43" s="47">
        <v>22.164791188206493</v>
      </c>
    </row>
    <row r="44" spans="1:6" ht="15.75" customHeight="1">
      <c r="A44" s="3">
        <v>46074</v>
      </c>
      <c r="B44" s="1" t="s">
        <v>22</v>
      </c>
      <c r="C44" s="1" t="s">
        <v>20</v>
      </c>
      <c r="D44" s="4">
        <v>5.1162244899999996</v>
      </c>
      <c r="E44" s="47">
        <v>-5.1312016982064934</v>
      </c>
      <c r="F44" s="47">
        <v>15.363650678206493</v>
      </c>
    </row>
    <row r="45" spans="1:6" ht="15.75" customHeight="1">
      <c r="A45" s="3">
        <v>46074</v>
      </c>
      <c r="B45" s="1" t="s">
        <v>25</v>
      </c>
      <c r="C45" s="1" t="s">
        <v>17</v>
      </c>
      <c r="D45" s="4">
        <v>-0.24207756</v>
      </c>
      <c r="E45" s="47">
        <v>-10.489493700000001</v>
      </c>
      <c r="F45" s="47">
        <v>10.00535863</v>
      </c>
    </row>
    <row r="46" spans="1:6" ht="15.75" customHeight="1">
      <c r="A46" s="3">
        <v>46076</v>
      </c>
      <c r="B46" s="1" t="s">
        <v>7</v>
      </c>
      <c r="C46" s="1" t="s">
        <v>18</v>
      </c>
      <c r="D46" s="4">
        <v>1.4717665600000001</v>
      </c>
      <c r="E46" s="47">
        <v>-8.7756596282064923</v>
      </c>
      <c r="F46" s="47">
        <v>11.719192748206494</v>
      </c>
    </row>
    <row r="47" spans="1:6" ht="15.75" customHeight="1">
      <c r="A47" s="3">
        <v>46077</v>
      </c>
      <c r="B47" s="1" t="s">
        <v>17</v>
      </c>
      <c r="C47" s="1" t="s">
        <v>16</v>
      </c>
      <c r="D47" s="4">
        <v>-19.927349</v>
      </c>
      <c r="E47" s="44">
        <f>-30 - 0.01</f>
        <v>-30.01</v>
      </c>
      <c r="F47" s="45">
        <f>-9 + 0.01</f>
        <v>-8.99</v>
      </c>
    </row>
    <row r="48" spans="1:6" ht="15.75" customHeight="1">
      <c r="A48" s="3">
        <v>46077</v>
      </c>
      <c r="B48" s="1" t="s">
        <v>8</v>
      </c>
      <c r="C48" s="1" t="s">
        <v>12</v>
      </c>
      <c r="D48" s="4">
        <v>-1.0932641000000001</v>
      </c>
      <c r="E48" s="44">
        <v>-11.01</v>
      </c>
      <c r="F48" s="44">
        <v>9.01</v>
      </c>
    </row>
    <row r="49" spans="1:6" ht="14">
      <c r="A49" s="3">
        <v>46077</v>
      </c>
      <c r="B49" s="1" t="s">
        <v>10</v>
      </c>
      <c r="C49" s="1" t="s">
        <v>5</v>
      </c>
      <c r="D49" s="4">
        <v>4.7241971009999997</v>
      </c>
      <c r="E49" s="44">
        <f>-6 - 0.01</f>
        <v>-6.01</v>
      </c>
      <c r="F49" s="45">
        <v>15.01</v>
      </c>
    </row>
    <row r="50" spans="1:6" ht="14">
      <c r="A50" s="3">
        <v>46077</v>
      </c>
      <c r="B50" s="1" t="s">
        <v>11</v>
      </c>
      <c r="C50" s="1" t="s">
        <v>15</v>
      </c>
      <c r="D50" s="4">
        <v>3.9733480399999999</v>
      </c>
      <c r="E50" s="44">
        <f>-6 - 0.01</f>
        <v>-6.01</v>
      </c>
      <c r="F50" s="45">
        <v>14.01</v>
      </c>
    </row>
    <row r="51" spans="1:6" ht="14">
      <c r="A51" s="3">
        <v>46078</v>
      </c>
      <c r="B51" s="1" t="s">
        <v>14</v>
      </c>
      <c r="C51" s="1" t="s">
        <v>22</v>
      </c>
      <c r="D51" s="4">
        <v>7.7315320300000003</v>
      </c>
      <c r="E51" s="44">
        <f>-3 - 0.01</f>
        <v>-3.01</v>
      </c>
      <c r="F51" s="45">
        <v>18.010000000000002</v>
      </c>
    </row>
    <row r="52" spans="1:6" ht="14">
      <c r="A52" s="3">
        <v>46078</v>
      </c>
      <c r="B52" s="1" t="s">
        <v>13</v>
      </c>
      <c r="C52" s="1" t="s">
        <v>20</v>
      </c>
      <c r="D52" s="4">
        <v>-1.2552612299999999</v>
      </c>
      <c r="E52" s="44">
        <f>-12 - 0.01</f>
        <v>-12.01</v>
      </c>
      <c r="F52" s="45">
        <v>9.01</v>
      </c>
    </row>
    <row r="53" spans="1:6" ht="14">
      <c r="A53" s="3">
        <v>46081</v>
      </c>
      <c r="B53" s="1" t="s">
        <v>5</v>
      </c>
      <c r="C53" s="1" t="s">
        <v>17</v>
      </c>
      <c r="D53" s="4">
        <v>14.926967100000001</v>
      </c>
      <c r="E53" s="44">
        <v>4.99</v>
      </c>
      <c r="F53" s="45">
        <v>25.01</v>
      </c>
    </row>
    <row r="54" spans="1:6" ht="14">
      <c r="A54" s="3">
        <v>46081</v>
      </c>
      <c r="B54" s="1" t="s">
        <v>15</v>
      </c>
      <c r="C54" s="1" t="s">
        <v>21</v>
      </c>
      <c r="D54" s="4">
        <v>-12.100289999999999</v>
      </c>
      <c r="E54" s="44">
        <f>-22 - 0.01</f>
        <v>-22.01</v>
      </c>
      <c r="F54" s="45">
        <f>-1 + 0.01</f>
        <v>-0.99</v>
      </c>
    </row>
    <row r="55" spans="1:6" ht="14">
      <c r="A55" s="3">
        <v>46081</v>
      </c>
      <c r="B55" s="1" t="s">
        <v>10</v>
      </c>
      <c r="C55" s="1" t="s">
        <v>16</v>
      </c>
      <c r="D55" s="4">
        <v>-8.7263639699999995</v>
      </c>
      <c r="E55" s="44">
        <f>-19 - 0.01</f>
        <v>-19.010000000000002</v>
      </c>
      <c r="F55" s="45">
        <v>2.0099999999999998</v>
      </c>
    </row>
    <row r="56" spans="1:6" ht="14">
      <c r="A56" s="3">
        <v>46081</v>
      </c>
      <c r="B56" s="1" t="s">
        <v>12</v>
      </c>
      <c r="C56" s="1" t="s">
        <v>11</v>
      </c>
      <c r="D56" s="4">
        <v>11.3545576</v>
      </c>
      <c r="E56" s="44">
        <v>0.99</v>
      </c>
      <c r="F56" s="45">
        <v>22.01</v>
      </c>
    </row>
    <row r="57" spans="1:6" ht="14">
      <c r="A57" s="3">
        <v>46081</v>
      </c>
      <c r="B57" s="1" t="s">
        <v>14</v>
      </c>
      <c r="C57" s="1" t="s">
        <v>20</v>
      </c>
      <c r="D57" s="4">
        <v>12.631876800000001</v>
      </c>
      <c r="E57" s="44">
        <v>1.99</v>
      </c>
      <c r="F57" s="45">
        <v>23.01</v>
      </c>
    </row>
    <row r="58" spans="1:6" ht="14">
      <c r="A58" s="3">
        <v>46081</v>
      </c>
      <c r="B58" s="1" t="s">
        <v>4</v>
      </c>
      <c r="C58" s="1" t="s">
        <v>8</v>
      </c>
      <c r="D58" s="4">
        <v>3.5034566800000002</v>
      </c>
      <c r="E58" s="44">
        <f>-7 - 0.01</f>
        <v>-7.01</v>
      </c>
      <c r="F58" s="45">
        <v>14.01</v>
      </c>
    </row>
    <row r="59" spans="1:6" ht="14">
      <c r="A59" s="3">
        <v>46081</v>
      </c>
      <c r="B59" s="1" t="s">
        <v>13</v>
      </c>
      <c r="C59" s="1" t="s">
        <v>22</v>
      </c>
      <c r="D59" s="4">
        <v>-6.9264297099999999</v>
      </c>
      <c r="E59" s="44">
        <f>-17 - 0.01</f>
        <v>-17.010000000000002</v>
      </c>
      <c r="F59" s="45">
        <v>3.01</v>
      </c>
    </row>
    <row r="60" spans="1:6" ht="14">
      <c r="A60" s="3">
        <v>46081</v>
      </c>
      <c r="B60" s="1" t="s">
        <v>7</v>
      </c>
      <c r="C60" s="1" t="s">
        <v>19</v>
      </c>
      <c r="D60" s="4">
        <v>-3.6823823600000001</v>
      </c>
      <c r="E60" s="44">
        <f>-14 - 0.01</f>
        <v>-14.01</v>
      </c>
      <c r="F60" s="45">
        <v>7.01</v>
      </c>
    </row>
    <row r="61" spans="1:6" ht="14">
      <c r="A61" s="3">
        <v>46081</v>
      </c>
      <c r="B61" s="1" t="s">
        <v>9</v>
      </c>
      <c r="C61" s="1" t="s">
        <v>18</v>
      </c>
      <c r="D61" s="4">
        <v>6.8374545510000004</v>
      </c>
      <c r="E61" s="44">
        <f>-3 - 0.01</f>
        <v>-3.01</v>
      </c>
      <c r="F61" s="45">
        <v>17.010000000000002</v>
      </c>
    </row>
    <row r="62" spans="1:6" ht="14">
      <c r="A62" s="3">
        <v>46083</v>
      </c>
      <c r="B62" s="1" t="s">
        <v>17</v>
      </c>
      <c r="C62" s="1" t="s">
        <v>10</v>
      </c>
      <c r="D62" s="4">
        <v>-8.7058219999999995</v>
      </c>
      <c r="E62" s="44">
        <f>-19 - 0.01</f>
        <v>-19.010000000000002</v>
      </c>
      <c r="F62" s="45">
        <v>2.0099999999999998</v>
      </c>
    </row>
    <row r="63" spans="1:6" ht="14">
      <c r="A63" s="3">
        <v>46084</v>
      </c>
      <c r="B63" s="1" t="s">
        <v>8</v>
      </c>
      <c r="C63" s="1" t="s">
        <v>5</v>
      </c>
      <c r="D63" s="4">
        <v>11.409128000000001</v>
      </c>
      <c r="E63" s="44">
        <v>0.99</v>
      </c>
      <c r="F63" s="45">
        <v>22.01</v>
      </c>
    </row>
    <row r="64" spans="1:6" ht="14">
      <c r="A64" s="3">
        <v>46084</v>
      </c>
      <c r="B64" s="1" t="s">
        <v>19</v>
      </c>
      <c r="C64" s="1" t="s">
        <v>18</v>
      </c>
      <c r="D64" s="4">
        <v>5.6330590779999996</v>
      </c>
      <c r="E64" s="44">
        <f>-5 - 0.01</f>
        <v>-5.01</v>
      </c>
      <c r="F64" s="45">
        <v>16.010000000000002</v>
      </c>
    </row>
    <row r="65" spans="1:6" ht="14">
      <c r="A65" s="3">
        <v>46084</v>
      </c>
      <c r="B65" s="1" t="s">
        <v>4</v>
      </c>
      <c r="C65" s="1" t="s">
        <v>7</v>
      </c>
      <c r="D65" s="4">
        <v>17.473438000000002</v>
      </c>
      <c r="E65" s="44">
        <v>6.99</v>
      </c>
      <c r="F65" s="45">
        <v>28.01</v>
      </c>
    </row>
    <row r="66" spans="1:6" ht="14">
      <c r="A66" s="3">
        <v>46084</v>
      </c>
      <c r="B66" s="1" t="s">
        <v>12</v>
      </c>
      <c r="C66" s="1" t="s">
        <v>9</v>
      </c>
      <c r="D66" s="4">
        <v>9.7663195100000006</v>
      </c>
      <c r="E66" s="44">
        <f>-1 - 0.01</f>
        <v>-1.01</v>
      </c>
      <c r="F66" s="45">
        <v>20.010000000000002</v>
      </c>
    </row>
    <row r="67" spans="1:6" ht="14">
      <c r="A67" s="3">
        <v>46085</v>
      </c>
      <c r="B67" s="1" t="s">
        <v>20</v>
      </c>
      <c r="C67" s="1" t="s">
        <v>21</v>
      </c>
      <c r="D67" s="4">
        <v>-9.8217601499999994</v>
      </c>
      <c r="E67" s="44">
        <f>-20 - 0.01</f>
        <v>-20.010000000000002</v>
      </c>
      <c r="F67" s="45">
        <v>1.01</v>
      </c>
    </row>
    <row r="68" spans="1:6" ht="14">
      <c r="A68" s="3">
        <v>46085</v>
      </c>
      <c r="B68" s="1" t="s">
        <v>11</v>
      </c>
      <c r="C68" s="1" t="s">
        <v>13</v>
      </c>
      <c r="D68" s="4">
        <v>6.2920297679999999</v>
      </c>
      <c r="E68" s="44">
        <f>-4 - 0.01</f>
        <v>-4.01</v>
      </c>
      <c r="F68" s="45">
        <v>17.010000000000002</v>
      </c>
    </row>
    <row r="69" spans="1:6" ht="14">
      <c r="A69" s="3">
        <v>46085</v>
      </c>
      <c r="B69" s="1" t="s">
        <v>22</v>
      </c>
      <c r="C69" s="1" t="s">
        <v>16</v>
      </c>
      <c r="D69" s="4">
        <v>0.65881334999999996</v>
      </c>
      <c r="E69" s="44">
        <f>-10 - 0.01</f>
        <v>-10.01</v>
      </c>
      <c r="F69" s="45">
        <v>11.01</v>
      </c>
    </row>
    <row r="70" spans="1:6" ht="14">
      <c r="A70" s="3">
        <v>46085</v>
      </c>
      <c r="B70" s="1" t="s">
        <v>15</v>
      </c>
      <c r="C70" s="1" t="s">
        <v>14</v>
      </c>
      <c r="D70" s="4">
        <v>-9.2021873000000003</v>
      </c>
      <c r="E70" s="44">
        <f>-20 - 0.01</f>
        <v>-20.010000000000002</v>
      </c>
      <c r="F70" s="45">
        <v>1.01</v>
      </c>
    </row>
    <row r="71" spans="1:6" ht="14">
      <c r="A71" s="3">
        <v>46088</v>
      </c>
      <c r="B71" s="1" t="s">
        <v>16</v>
      </c>
      <c r="C71" s="1" t="s">
        <v>12</v>
      </c>
      <c r="D71" s="4">
        <v>1.8349933899999999</v>
      </c>
      <c r="E71" s="44">
        <f>-9 - 0.01</f>
        <v>-9.01</v>
      </c>
      <c r="F71" s="45">
        <v>12.01</v>
      </c>
    </row>
    <row r="72" spans="1:6" ht="14">
      <c r="A72" s="3">
        <v>46088</v>
      </c>
      <c r="B72" s="1" t="s">
        <v>21</v>
      </c>
      <c r="C72" s="1" t="s">
        <v>19</v>
      </c>
      <c r="D72" s="4">
        <v>15.56951357</v>
      </c>
      <c r="E72" s="44">
        <v>4.99</v>
      </c>
      <c r="F72" s="45">
        <v>26.01</v>
      </c>
    </row>
    <row r="73" spans="1:6" ht="14">
      <c r="A73" s="3">
        <v>46088</v>
      </c>
      <c r="B73" s="1" t="s">
        <v>9</v>
      </c>
      <c r="C73" s="1" t="s">
        <v>5</v>
      </c>
      <c r="D73" s="4">
        <v>8.0716146799999997</v>
      </c>
      <c r="E73" s="44">
        <f>-2 - 0.01</f>
        <v>-2.0099999999999998</v>
      </c>
      <c r="F73" s="45">
        <v>18.010000000000002</v>
      </c>
    </row>
    <row r="74" spans="1:6" ht="14">
      <c r="A74" s="3">
        <v>46088</v>
      </c>
      <c r="B74" s="1" t="s">
        <v>13</v>
      </c>
      <c r="C74" s="1" t="s">
        <v>15</v>
      </c>
      <c r="D74" s="4">
        <v>1.1423888200000001</v>
      </c>
      <c r="E74" s="44">
        <f>-9 - 0.01</f>
        <v>-9.01</v>
      </c>
      <c r="F74" s="45">
        <v>11.01</v>
      </c>
    </row>
    <row r="75" spans="1:6" ht="14">
      <c r="A75" s="3">
        <v>46088</v>
      </c>
      <c r="B75" s="1" t="s">
        <v>7</v>
      </c>
      <c r="C75" s="1" t="s">
        <v>11</v>
      </c>
      <c r="D75" s="4">
        <v>-5.08891647</v>
      </c>
      <c r="E75" s="44">
        <f>-15 - 0.01</f>
        <v>-15.01</v>
      </c>
      <c r="F75" s="45">
        <v>5.01</v>
      </c>
    </row>
    <row r="76" spans="1:6" ht="14">
      <c r="A76" s="3">
        <v>46088</v>
      </c>
      <c r="B76" s="1" t="s">
        <v>22</v>
      </c>
      <c r="C76" s="1" t="s">
        <v>10</v>
      </c>
      <c r="D76" s="4">
        <v>12.62166931</v>
      </c>
      <c r="E76" s="44">
        <v>1.99</v>
      </c>
      <c r="F76" s="45">
        <v>23.01</v>
      </c>
    </row>
    <row r="77" spans="1:6" ht="14">
      <c r="A77" s="3">
        <v>46088</v>
      </c>
      <c r="B77" s="1" t="s">
        <v>20</v>
      </c>
      <c r="C77" s="1" t="s">
        <v>8</v>
      </c>
      <c r="D77" s="4">
        <v>-1.18404775</v>
      </c>
      <c r="E77" s="44">
        <f>-11 - 0.01</f>
        <v>-11.01</v>
      </c>
      <c r="F77" s="45">
        <v>9.01</v>
      </c>
    </row>
    <row r="78" spans="1:6" ht="14">
      <c r="A78" s="3">
        <v>46088</v>
      </c>
      <c r="B78" s="1" t="s">
        <v>14</v>
      </c>
      <c r="C78" s="1" t="s">
        <v>4</v>
      </c>
      <c r="D78" s="4">
        <v>8.4104103600000002</v>
      </c>
      <c r="E78" s="44">
        <f>-2 - 0.01</f>
        <v>-2.0099999999999998</v>
      </c>
      <c r="F78" s="45">
        <v>19.010000000000002</v>
      </c>
    </row>
    <row r="79" spans="1:6" ht="14">
      <c r="A79" s="3">
        <v>46088</v>
      </c>
      <c r="B79" s="1" t="s">
        <v>18</v>
      </c>
      <c r="C79" s="1" t="s">
        <v>17</v>
      </c>
      <c r="D79" s="4">
        <v>16.493736800000001</v>
      </c>
      <c r="E79" s="44">
        <v>5.99</v>
      </c>
      <c r="F79" s="45">
        <v>27.01</v>
      </c>
    </row>
    <row r="80" spans="1:6" ht="13">
      <c r="A80" s="5"/>
      <c r="D80" s="4" t="s">
        <v>6</v>
      </c>
      <c r="E80" s="40"/>
    </row>
    <row r="81" spans="1:5" ht="13">
      <c r="A81" s="5"/>
      <c r="D81" s="4" t="s">
        <v>6</v>
      </c>
      <c r="E81" s="40"/>
    </row>
    <row r="82" spans="1:5" ht="13">
      <c r="A82" s="5"/>
      <c r="D82" s="4" t="s">
        <v>6</v>
      </c>
      <c r="E82" s="40"/>
    </row>
    <row r="83" spans="1:5" ht="13">
      <c r="A83" s="5"/>
      <c r="D83" s="4" t="s">
        <v>6</v>
      </c>
      <c r="E83" s="40"/>
    </row>
    <row r="84" spans="1:5" ht="13">
      <c r="A84" s="5"/>
      <c r="D84" s="4" t="s">
        <v>6</v>
      </c>
      <c r="E84" s="40"/>
    </row>
    <row r="85" spans="1:5" ht="13">
      <c r="A85" s="5"/>
      <c r="D85" s="4" t="s">
        <v>6</v>
      </c>
      <c r="E85" s="40"/>
    </row>
    <row r="86" spans="1:5" ht="13">
      <c r="A86" s="5"/>
      <c r="D86" s="4" t="s">
        <v>6</v>
      </c>
      <c r="E86" s="40"/>
    </row>
    <row r="87" spans="1:5" ht="13">
      <c r="A87" s="5"/>
      <c r="D87" s="4" t="s">
        <v>6</v>
      </c>
      <c r="E87" s="40"/>
    </row>
    <row r="88" spans="1:5" ht="13">
      <c r="A88" s="5"/>
      <c r="D88" s="4" t="s">
        <v>6</v>
      </c>
      <c r="E88" s="40"/>
    </row>
    <row r="89" spans="1:5" ht="13">
      <c r="A89" s="5"/>
      <c r="D89" s="4" t="s">
        <v>6</v>
      </c>
      <c r="E89" s="40"/>
    </row>
    <row r="90" spans="1:5" ht="13">
      <c r="A90" s="5"/>
      <c r="D90" s="2"/>
      <c r="E90" s="40"/>
    </row>
    <row r="91" spans="1:5" ht="13">
      <c r="A91" s="5"/>
      <c r="D91" s="2"/>
      <c r="E91" s="40"/>
    </row>
    <row r="92" spans="1:5" ht="13">
      <c r="A92" s="5"/>
      <c r="D92" s="2"/>
      <c r="E92" s="40"/>
    </row>
    <row r="93" spans="1:5" ht="13">
      <c r="A93" s="5"/>
      <c r="D93" s="2"/>
      <c r="E93" s="40"/>
    </row>
    <row r="94" spans="1:5" ht="13">
      <c r="A94" s="5"/>
      <c r="D94" s="2"/>
      <c r="E94" s="40"/>
    </row>
    <row r="95" spans="1:5" ht="13">
      <c r="A95" s="5"/>
      <c r="D95" s="2"/>
      <c r="E95" s="40"/>
    </row>
    <row r="96" spans="1:5" ht="13">
      <c r="A96" s="5"/>
      <c r="D96" s="2"/>
      <c r="E96" s="40"/>
    </row>
    <row r="97" spans="1:5" ht="13">
      <c r="A97" s="5"/>
      <c r="D97" s="2"/>
      <c r="E97" s="40"/>
    </row>
    <row r="98" spans="1:5" ht="13">
      <c r="A98" s="5"/>
      <c r="D98" s="2"/>
      <c r="E98" s="40"/>
    </row>
    <row r="99" spans="1:5" ht="13">
      <c r="A99" s="5"/>
      <c r="D99" s="2"/>
      <c r="E99" s="40"/>
    </row>
    <row r="100" spans="1:5" ht="13">
      <c r="A100" s="5"/>
      <c r="D100" s="2"/>
      <c r="E100" s="40"/>
    </row>
    <row r="101" spans="1:5" ht="13">
      <c r="A101" s="5"/>
      <c r="D101" s="2"/>
      <c r="E101" s="40"/>
    </row>
    <row r="102" spans="1:5" ht="13">
      <c r="A102" s="5"/>
      <c r="D102" s="2"/>
      <c r="E102" s="40"/>
    </row>
    <row r="103" spans="1:5" ht="13">
      <c r="A103" s="5"/>
      <c r="D103" s="2"/>
      <c r="E103" s="40"/>
    </row>
    <row r="104" spans="1:5" ht="13">
      <c r="A104" s="5"/>
      <c r="D104" s="2"/>
      <c r="E104" s="40"/>
    </row>
    <row r="105" spans="1:5" ht="13">
      <c r="A105" s="5"/>
      <c r="D105" s="2"/>
      <c r="E105" s="40"/>
    </row>
    <row r="106" spans="1:5" ht="13">
      <c r="A106" s="5"/>
      <c r="D106" s="2"/>
      <c r="E106" s="40"/>
    </row>
    <row r="107" spans="1:5" ht="13">
      <c r="A107" s="5"/>
      <c r="D107" s="2"/>
      <c r="E107" s="40"/>
    </row>
    <row r="108" spans="1:5" ht="13">
      <c r="A108" s="5"/>
      <c r="D108" s="2"/>
      <c r="E108" s="40"/>
    </row>
    <row r="109" spans="1:5" ht="13">
      <c r="A109" s="5"/>
      <c r="D109" s="2"/>
      <c r="E109" s="40"/>
    </row>
    <row r="110" spans="1:5" ht="13">
      <c r="A110" s="5"/>
      <c r="D110" s="2"/>
      <c r="E110" s="40"/>
    </row>
    <row r="111" spans="1:5" ht="13">
      <c r="A111" s="5"/>
      <c r="D111" s="2"/>
      <c r="E111" s="40"/>
    </row>
    <row r="112" spans="1:5" ht="13">
      <c r="A112" s="5"/>
      <c r="D112" s="2"/>
      <c r="E112" s="40"/>
    </row>
    <row r="113" spans="1:5" ht="13">
      <c r="A113" s="5"/>
      <c r="D113" s="2"/>
      <c r="E113" s="40"/>
    </row>
    <row r="114" spans="1:5" ht="13">
      <c r="A114" s="5"/>
      <c r="D114" s="2"/>
      <c r="E114" s="40"/>
    </row>
    <row r="115" spans="1:5" ht="13">
      <c r="A115" s="5"/>
      <c r="D115" s="2"/>
      <c r="E115" s="40"/>
    </row>
    <row r="116" spans="1:5" ht="13">
      <c r="A116" s="5"/>
      <c r="D116" s="2"/>
      <c r="E116" s="40"/>
    </row>
    <row r="117" spans="1:5" ht="13">
      <c r="A117" s="5"/>
      <c r="D117" s="2"/>
      <c r="E117" s="40"/>
    </row>
    <row r="118" spans="1:5" ht="13">
      <c r="A118" s="5"/>
      <c r="D118" s="2"/>
      <c r="E118" s="40"/>
    </row>
    <row r="119" spans="1:5" ht="13">
      <c r="A119" s="5"/>
      <c r="D119" s="2"/>
      <c r="E119" s="40"/>
    </row>
    <row r="120" spans="1:5" ht="13">
      <c r="A120" s="5"/>
      <c r="D120" s="2"/>
      <c r="E120" s="40"/>
    </row>
    <row r="121" spans="1:5" ht="13">
      <c r="A121" s="5"/>
      <c r="D121" s="2"/>
      <c r="E121" s="40"/>
    </row>
    <row r="122" spans="1:5" ht="13">
      <c r="A122" s="5"/>
      <c r="D122" s="2"/>
      <c r="E122" s="40"/>
    </row>
    <row r="123" spans="1:5" ht="13">
      <c r="A123" s="5"/>
      <c r="D123" s="2"/>
      <c r="E123" s="40"/>
    </row>
    <row r="124" spans="1:5" ht="13">
      <c r="A124" s="5"/>
      <c r="D124" s="2"/>
      <c r="E124" s="40"/>
    </row>
    <row r="125" spans="1:5" ht="13">
      <c r="A125" s="5"/>
      <c r="D125" s="2"/>
      <c r="E125" s="40"/>
    </row>
    <row r="126" spans="1:5" ht="13">
      <c r="A126" s="5"/>
      <c r="D126" s="2"/>
      <c r="E126" s="40"/>
    </row>
    <row r="127" spans="1:5" ht="13">
      <c r="A127" s="5"/>
      <c r="D127" s="2"/>
      <c r="E127" s="40"/>
    </row>
    <row r="128" spans="1:5" ht="13">
      <c r="A128" s="5"/>
      <c r="D128" s="2"/>
      <c r="E128" s="40"/>
    </row>
    <row r="129" spans="1:5" ht="13">
      <c r="A129" s="5"/>
      <c r="D129" s="2"/>
      <c r="E129" s="40"/>
    </row>
    <row r="130" spans="1:5" ht="13">
      <c r="A130" s="5"/>
      <c r="D130" s="2"/>
      <c r="E130" s="40"/>
    </row>
    <row r="131" spans="1:5" ht="13">
      <c r="A131" s="5"/>
      <c r="D131" s="2"/>
      <c r="E131" s="40"/>
    </row>
    <row r="132" spans="1:5" ht="13">
      <c r="A132" s="5"/>
      <c r="D132" s="2"/>
      <c r="E132" s="40"/>
    </row>
    <row r="133" spans="1:5" ht="13">
      <c r="A133" s="5"/>
      <c r="D133" s="2"/>
      <c r="E133" s="40"/>
    </row>
    <row r="134" spans="1:5" ht="13">
      <c r="A134" s="5"/>
      <c r="D134" s="2"/>
      <c r="E134" s="40"/>
    </row>
    <row r="135" spans="1:5" ht="13">
      <c r="A135" s="5"/>
      <c r="D135" s="2"/>
      <c r="E135" s="40"/>
    </row>
    <row r="136" spans="1:5" ht="13">
      <c r="A136" s="5"/>
      <c r="D136" s="2"/>
      <c r="E136" s="40"/>
    </row>
    <row r="137" spans="1:5" ht="13">
      <c r="A137" s="5"/>
      <c r="D137" s="2"/>
      <c r="E137" s="40"/>
    </row>
    <row r="138" spans="1:5" ht="13">
      <c r="A138" s="5"/>
      <c r="D138" s="2"/>
      <c r="E138" s="40"/>
    </row>
    <row r="139" spans="1:5" ht="13">
      <c r="A139" s="5"/>
      <c r="D139" s="2"/>
      <c r="E139" s="40"/>
    </row>
    <row r="140" spans="1:5" ht="13">
      <c r="A140" s="5"/>
      <c r="D140" s="2"/>
      <c r="E140" s="40"/>
    </row>
    <row r="141" spans="1:5" ht="13">
      <c r="A141" s="5"/>
      <c r="D141" s="2"/>
      <c r="E141" s="40"/>
    </row>
    <row r="142" spans="1:5" ht="13">
      <c r="A142" s="5"/>
      <c r="D142" s="2"/>
      <c r="E142" s="40"/>
    </row>
    <row r="143" spans="1:5" ht="13">
      <c r="A143" s="5"/>
      <c r="D143" s="2"/>
      <c r="E143" s="40"/>
    </row>
    <row r="144" spans="1:5" ht="13">
      <c r="A144" s="5"/>
      <c r="D144" s="2"/>
      <c r="E144" s="40"/>
    </row>
    <row r="145" spans="1:5" ht="13">
      <c r="A145" s="5"/>
      <c r="D145" s="2"/>
      <c r="E145" s="40"/>
    </row>
    <row r="146" spans="1:5" ht="13">
      <c r="A146" s="5"/>
      <c r="D146" s="2"/>
      <c r="E146" s="40"/>
    </row>
    <row r="147" spans="1:5" ht="13">
      <c r="A147" s="5"/>
      <c r="D147" s="2"/>
      <c r="E147" s="40"/>
    </row>
    <row r="148" spans="1:5" ht="13">
      <c r="A148" s="5"/>
      <c r="D148" s="2"/>
      <c r="E148" s="40"/>
    </row>
    <row r="149" spans="1:5" ht="13">
      <c r="A149" s="5"/>
      <c r="D149" s="2"/>
      <c r="E149" s="40"/>
    </row>
    <row r="150" spans="1:5" ht="13">
      <c r="A150" s="5"/>
      <c r="D150" s="2"/>
      <c r="E150" s="40"/>
    </row>
    <row r="151" spans="1:5" ht="13">
      <c r="A151" s="5"/>
      <c r="D151" s="2"/>
      <c r="E151" s="40"/>
    </row>
    <row r="152" spans="1:5" ht="13">
      <c r="A152" s="5"/>
      <c r="D152" s="2"/>
      <c r="E152" s="40"/>
    </row>
    <row r="153" spans="1:5" ht="13">
      <c r="A153" s="5"/>
      <c r="D153" s="2"/>
      <c r="E153" s="40"/>
    </row>
    <row r="154" spans="1:5" ht="13">
      <c r="A154" s="5"/>
      <c r="D154" s="2"/>
      <c r="E154" s="40"/>
    </row>
    <row r="155" spans="1:5" ht="13">
      <c r="D155" s="2"/>
      <c r="E155" s="40"/>
    </row>
    <row r="156" spans="1:5" ht="13">
      <c r="D156" s="2"/>
      <c r="E156" s="40"/>
    </row>
    <row r="157" spans="1:5" ht="13">
      <c r="D157" s="2"/>
      <c r="E157" s="40"/>
    </row>
    <row r="158" spans="1:5" ht="13">
      <c r="D158" s="2"/>
      <c r="E158" s="40"/>
    </row>
    <row r="159" spans="1:5" ht="13">
      <c r="D159" s="2"/>
      <c r="E159" s="40"/>
    </row>
    <row r="160" spans="1:5" ht="13">
      <c r="D160" s="2"/>
      <c r="E160" s="40"/>
    </row>
    <row r="161" spans="4:5" ht="13">
      <c r="D161" s="2"/>
      <c r="E161" s="40"/>
    </row>
    <row r="162" spans="4:5" ht="13">
      <c r="D162" s="2"/>
      <c r="E162" s="40"/>
    </row>
    <row r="163" spans="4:5" ht="13">
      <c r="D163" s="2"/>
      <c r="E163" s="40"/>
    </row>
    <row r="164" spans="4:5" ht="13">
      <c r="D164" s="2"/>
      <c r="E164" s="40"/>
    </row>
    <row r="165" spans="4:5" ht="13">
      <c r="D165" s="2"/>
      <c r="E165" s="40"/>
    </row>
    <row r="166" spans="4:5" ht="13">
      <c r="D166" s="2"/>
      <c r="E166" s="40"/>
    </row>
    <row r="167" spans="4:5" ht="13">
      <c r="D167" s="2"/>
      <c r="E167" s="40"/>
    </row>
    <row r="168" spans="4:5" ht="13">
      <c r="D168" s="2"/>
      <c r="E168" s="40"/>
    </row>
    <row r="169" spans="4:5" ht="13">
      <c r="D169" s="2"/>
      <c r="E169" s="40"/>
    </row>
    <row r="170" spans="4:5" ht="13">
      <c r="D170" s="2"/>
      <c r="E170" s="40"/>
    </row>
    <row r="171" spans="4:5" ht="13">
      <c r="D171" s="2"/>
      <c r="E171" s="40"/>
    </row>
    <row r="172" spans="4:5" ht="13">
      <c r="D172" s="2"/>
      <c r="E172" s="40"/>
    </row>
    <row r="173" spans="4:5" ht="13">
      <c r="D173" s="2"/>
      <c r="E173" s="40"/>
    </row>
    <row r="174" spans="4:5" ht="13">
      <c r="D174" s="2"/>
      <c r="E174" s="40"/>
    </row>
    <row r="175" spans="4:5" ht="13">
      <c r="D175" s="2"/>
      <c r="E175" s="40"/>
    </row>
    <row r="176" spans="4:5" ht="13">
      <c r="D176" s="2"/>
      <c r="E176" s="40"/>
    </row>
    <row r="177" spans="4:5" ht="13">
      <c r="D177" s="2"/>
      <c r="E177" s="40"/>
    </row>
    <row r="178" spans="4:5" ht="13">
      <c r="D178" s="2"/>
      <c r="E178" s="40"/>
    </row>
    <row r="179" spans="4:5" ht="13">
      <c r="D179" s="2"/>
      <c r="E179" s="40"/>
    </row>
    <row r="180" spans="4:5" ht="13">
      <c r="D180" s="2"/>
      <c r="E180" s="40"/>
    </row>
    <row r="181" spans="4:5" ht="13">
      <c r="D181" s="2"/>
      <c r="E181" s="40"/>
    </row>
    <row r="182" spans="4:5" ht="13">
      <c r="D182" s="2"/>
      <c r="E182" s="40"/>
    </row>
    <row r="183" spans="4:5" ht="13">
      <c r="D183" s="2"/>
      <c r="E183" s="40"/>
    </row>
    <row r="184" spans="4:5" ht="13">
      <c r="D184" s="2"/>
      <c r="E184" s="40"/>
    </row>
    <row r="185" spans="4:5" ht="13">
      <c r="D185" s="2"/>
      <c r="E185" s="40"/>
    </row>
    <row r="186" spans="4:5" ht="13">
      <c r="D186" s="2"/>
      <c r="E186" s="40"/>
    </row>
    <row r="187" spans="4:5" ht="13">
      <c r="D187" s="2"/>
      <c r="E187" s="40"/>
    </row>
    <row r="188" spans="4:5" ht="13">
      <c r="D188" s="2"/>
      <c r="E188" s="40"/>
    </row>
    <row r="189" spans="4:5" ht="13">
      <c r="D189" s="2"/>
      <c r="E189" s="40"/>
    </row>
    <row r="190" spans="4:5" ht="13">
      <c r="D190" s="2"/>
      <c r="E190" s="40"/>
    </row>
    <row r="191" spans="4:5" ht="13">
      <c r="D191" s="2"/>
      <c r="E191" s="40"/>
    </row>
    <row r="192" spans="4:5" ht="13">
      <c r="D192" s="2"/>
      <c r="E192" s="40"/>
    </row>
    <row r="193" spans="4:5" ht="13">
      <c r="D193" s="2"/>
      <c r="E193" s="40"/>
    </row>
    <row r="194" spans="4:5" ht="13">
      <c r="D194" s="2"/>
      <c r="E194" s="40"/>
    </row>
    <row r="195" spans="4:5" ht="13">
      <c r="D195" s="2"/>
      <c r="E195" s="40"/>
    </row>
    <row r="196" spans="4:5" ht="13">
      <c r="D196" s="2"/>
      <c r="E196" s="40"/>
    </row>
    <row r="197" spans="4:5" ht="13">
      <c r="D197" s="2"/>
      <c r="E197" s="40"/>
    </row>
    <row r="198" spans="4:5" ht="13">
      <c r="D198" s="2"/>
      <c r="E198" s="40"/>
    </row>
    <row r="199" spans="4:5" ht="13">
      <c r="D199" s="2"/>
      <c r="E199" s="40"/>
    </row>
    <row r="200" spans="4:5" ht="13">
      <c r="D200" s="2"/>
      <c r="E200" s="40"/>
    </row>
    <row r="201" spans="4:5" ht="13">
      <c r="D201" s="2"/>
      <c r="E201" s="40"/>
    </row>
    <row r="202" spans="4:5" ht="13">
      <c r="D202" s="2"/>
      <c r="E202" s="40"/>
    </row>
    <row r="203" spans="4:5" ht="13">
      <c r="D203" s="2"/>
      <c r="E203" s="40"/>
    </row>
    <row r="204" spans="4:5" ht="13">
      <c r="D204" s="2"/>
      <c r="E204" s="40"/>
    </row>
    <row r="205" spans="4:5" ht="13">
      <c r="D205" s="2"/>
      <c r="E205" s="40"/>
    </row>
    <row r="206" spans="4:5" ht="13">
      <c r="D206" s="2"/>
      <c r="E206" s="40"/>
    </row>
    <row r="207" spans="4:5" ht="13">
      <c r="D207" s="2"/>
      <c r="E207" s="40"/>
    </row>
    <row r="208" spans="4:5" ht="13">
      <c r="D208" s="2"/>
      <c r="E208" s="40"/>
    </row>
    <row r="209" spans="4:5" ht="13">
      <c r="D209" s="2"/>
      <c r="E209" s="40"/>
    </row>
    <row r="210" spans="4:5" ht="13">
      <c r="D210" s="2"/>
      <c r="E210" s="40"/>
    </row>
    <row r="211" spans="4:5" ht="13">
      <c r="D211" s="2"/>
      <c r="E211" s="40"/>
    </row>
    <row r="212" spans="4:5" ht="13">
      <c r="D212" s="2"/>
      <c r="E212" s="40"/>
    </row>
    <row r="213" spans="4:5" ht="13">
      <c r="D213" s="2"/>
      <c r="E213" s="40"/>
    </row>
    <row r="214" spans="4:5" ht="13">
      <c r="D214" s="2"/>
      <c r="E214" s="40"/>
    </row>
    <row r="215" spans="4:5" ht="13">
      <c r="D215" s="2"/>
      <c r="E215" s="40"/>
    </row>
    <row r="216" spans="4:5" ht="13">
      <c r="D216" s="2"/>
      <c r="E216" s="40"/>
    </row>
    <row r="217" spans="4:5" ht="13">
      <c r="D217" s="2"/>
      <c r="E217" s="40"/>
    </row>
    <row r="218" spans="4:5" ht="13">
      <c r="D218" s="2"/>
      <c r="E218" s="40"/>
    </row>
    <row r="219" spans="4:5" ht="13">
      <c r="D219" s="2"/>
      <c r="E219" s="40"/>
    </row>
    <row r="220" spans="4:5" ht="13">
      <c r="D220" s="2"/>
      <c r="E220" s="40"/>
    </row>
    <row r="221" spans="4:5" ht="13">
      <c r="D221" s="2"/>
      <c r="E221" s="40"/>
    </row>
    <row r="222" spans="4:5" ht="13">
      <c r="D222" s="2"/>
      <c r="E222" s="40"/>
    </row>
    <row r="223" spans="4:5" ht="13">
      <c r="D223" s="2"/>
      <c r="E223" s="40"/>
    </row>
    <row r="224" spans="4:5" ht="13">
      <c r="D224" s="2"/>
      <c r="E224" s="40"/>
    </row>
    <row r="225" spans="4:5" ht="13">
      <c r="D225" s="2"/>
      <c r="E225" s="40"/>
    </row>
    <row r="226" spans="4:5" ht="13">
      <c r="D226" s="2"/>
      <c r="E226" s="40"/>
    </row>
    <row r="227" spans="4:5" ht="13">
      <c r="D227" s="2"/>
      <c r="E227" s="40"/>
    </row>
    <row r="228" spans="4:5" ht="13">
      <c r="D228" s="2"/>
      <c r="E228" s="40"/>
    </row>
    <row r="229" spans="4:5" ht="13">
      <c r="D229" s="2"/>
      <c r="E229" s="40"/>
    </row>
    <row r="230" spans="4:5" ht="13">
      <c r="D230" s="2"/>
      <c r="E230" s="40"/>
    </row>
    <row r="231" spans="4:5" ht="13">
      <c r="D231" s="2"/>
      <c r="E231" s="40"/>
    </row>
    <row r="232" spans="4:5" ht="13">
      <c r="D232" s="2"/>
      <c r="E232" s="40"/>
    </row>
    <row r="233" spans="4:5" ht="13">
      <c r="D233" s="2"/>
      <c r="E233" s="40"/>
    </row>
    <row r="234" spans="4:5" ht="13">
      <c r="D234" s="2"/>
      <c r="E234" s="40"/>
    </row>
    <row r="235" spans="4:5" ht="13">
      <c r="D235" s="2"/>
      <c r="E235" s="40"/>
    </row>
    <row r="236" spans="4:5" ht="13">
      <c r="D236" s="2"/>
      <c r="E236" s="40"/>
    </row>
    <row r="237" spans="4:5" ht="13">
      <c r="D237" s="2"/>
      <c r="E237" s="40"/>
    </row>
    <row r="238" spans="4:5" ht="13">
      <c r="D238" s="2"/>
      <c r="E238" s="40"/>
    </row>
    <row r="239" spans="4:5" ht="13">
      <c r="D239" s="2"/>
      <c r="E239" s="40"/>
    </row>
    <row r="240" spans="4:5" ht="13">
      <c r="D240" s="2"/>
      <c r="E240" s="40"/>
    </row>
    <row r="241" spans="4:5" ht="13">
      <c r="D241" s="2"/>
      <c r="E241" s="40"/>
    </row>
    <row r="242" spans="4:5" ht="13">
      <c r="D242" s="2"/>
      <c r="E242" s="40"/>
    </row>
    <row r="243" spans="4:5" ht="13">
      <c r="D243" s="2"/>
      <c r="E243" s="40"/>
    </row>
    <row r="244" spans="4:5" ht="13">
      <c r="D244" s="2"/>
      <c r="E244" s="40"/>
    </row>
    <row r="245" spans="4:5" ht="13">
      <c r="D245" s="2"/>
      <c r="E245" s="40"/>
    </row>
    <row r="246" spans="4:5" ht="13">
      <c r="D246" s="2"/>
      <c r="E246" s="40"/>
    </row>
    <row r="247" spans="4:5" ht="13">
      <c r="D247" s="2"/>
      <c r="E247" s="40"/>
    </row>
    <row r="248" spans="4:5" ht="13">
      <c r="D248" s="2"/>
      <c r="E248" s="40"/>
    </row>
    <row r="249" spans="4:5" ht="13">
      <c r="D249" s="2"/>
      <c r="E249" s="40"/>
    </row>
    <row r="250" spans="4:5" ht="13">
      <c r="D250" s="2"/>
      <c r="E250" s="40"/>
    </row>
    <row r="251" spans="4:5" ht="13">
      <c r="D251" s="2"/>
      <c r="E251" s="40"/>
    </row>
    <row r="252" spans="4:5" ht="13">
      <c r="D252" s="2"/>
      <c r="E252" s="40"/>
    </row>
    <row r="253" spans="4:5" ht="13">
      <c r="D253" s="2"/>
      <c r="E253" s="40"/>
    </row>
    <row r="254" spans="4:5" ht="13">
      <c r="D254" s="2"/>
      <c r="E254" s="40"/>
    </row>
    <row r="255" spans="4:5" ht="13">
      <c r="D255" s="2"/>
      <c r="E255" s="40"/>
    </row>
    <row r="256" spans="4:5" ht="13">
      <c r="D256" s="2"/>
      <c r="E256" s="40"/>
    </row>
    <row r="257" spans="4:5" ht="13">
      <c r="D257" s="2"/>
      <c r="E257" s="40"/>
    </row>
    <row r="258" spans="4:5" ht="13">
      <c r="D258" s="2"/>
      <c r="E258" s="40"/>
    </row>
    <row r="259" spans="4:5" ht="13">
      <c r="D259" s="2"/>
      <c r="E259" s="40"/>
    </row>
    <row r="260" spans="4:5" ht="13">
      <c r="D260" s="2"/>
      <c r="E260" s="40"/>
    </row>
    <row r="261" spans="4:5" ht="13">
      <c r="D261" s="2"/>
      <c r="E261" s="40"/>
    </row>
    <row r="262" spans="4:5" ht="13">
      <c r="D262" s="2"/>
      <c r="E262" s="40"/>
    </row>
    <row r="263" spans="4:5" ht="13">
      <c r="D263" s="2"/>
      <c r="E263" s="40"/>
    </row>
    <row r="264" spans="4:5" ht="13">
      <c r="D264" s="2"/>
      <c r="E264" s="40"/>
    </row>
    <row r="265" spans="4:5" ht="13">
      <c r="D265" s="2"/>
      <c r="E265" s="40"/>
    </row>
    <row r="266" spans="4:5" ht="13">
      <c r="D266" s="2"/>
      <c r="E266" s="40"/>
    </row>
    <row r="267" spans="4:5" ht="13">
      <c r="D267" s="2"/>
      <c r="E267" s="40"/>
    </row>
    <row r="268" spans="4:5" ht="13">
      <c r="D268" s="2"/>
      <c r="E268" s="40"/>
    </row>
    <row r="269" spans="4:5" ht="13">
      <c r="D269" s="2"/>
      <c r="E269" s="40"/>
    </row>
    <row r="270" spans="4:5" ht="13">
      <c r="D270" s="2"/>
      <c r="E270" s="40"/>
    </row>
    <row r="271" spans="4:5" ht="13">
      <c r="D271" s="2"/>
      <c r="E271" s="40"/>
    </row>
    <row r="272" spans="4:5" ht="13">
      <c r="D272" s="2"/>
      <c r="E272" s="40"/>
    </row>
    <row r="273" spans="4:5" ht="13">
      <c r="D273" s="2"/>
      <c r="E273" s="40"/>
    </row>
    <row r="274" spans="4:5" ht="13">
      <c r="D274" s="2"/>
      <c r="E274" s="40"/>
    </row>
    <row r="275" spans="4:5" ht="13">
      <c r="D275" s="2"/>
      <c r="E275" s="40"/>
    </row>
    <row r="276" spans="4:5" ht="13">
      <c r="D276" s="2"/>
      <c r="E276" s="40"/>
    </row>
    <row r="277" spans="4:5" ht="13">
      <c r="D277" s="2"/>
      <c r="E277" s="40"/>
    </row>
    <row r="278" spans="4:5" ht="13">
      <c r="D278" s="2"/>
      <c r="E278" s="40"/>
    </row>
    <row r="279" spans="4:5" ht="13">
      <c r="D279" s="2"/>
      <c r="E279" s="40"/>
    </row>
    <row r="280" spans="4:5" ht="13">
      <c r="D280" s="2"/>
      <c r="E280" s="40"/>
    </row>
    <row r="281" spans="4:5" ht="13">
      <c r="D281" s="2"/>
      <c r="E281" s="40"/>
    </row>
    <row r="282" spans="4:5" ht="13">
      <c r="D282" s="2"/>
      <c r="E282" s="40"/>
    </row>
    <row r="283" spans="4:5" ht="13">
      <c r="D283" s="2"/>
      <c r="E283" s="40"/>
    </row>
    <row r="284" spans="4:5" ht="13">
      <c r="D284" s="2"/>
      <c r="E284" s="40"/>
    </row>
    <row r="285" spans="4:5" ht="13">
      <c r="D285" s="2"/>
      <c r="E285" s="40"/>
    </row>
    <row r="286" spans="4:5" ht="13">
      <c r="D286" s="2"/>
      <c r="E286" s="40"/>
    </row>
    <row r="287" spans="4:5" ht="13">
      <c r="D287" s="2"/>
      <c r="E287" s="40"/>
    </row>
    <row r="288" spans="4:5" ht="13">
      <c r="D288" s="2"/>
      <c r="E288" s="40"/>
    </row>
    <row r="289" spans="4:5" ht="13">
      <c r="D289" s="2"/>
      <c r="E289" s="40"/>
    </row>
    <row r="290" spans="4:5" ht="13">
      <c r="D290" s="2"/>
      <c r="E290" s="40"/>
    </row>
    <row r="291" spans="4:5" ht="13">
      <c r="D291" s="2"/>
      <c r="E291" s="40"/>
    </row>
    <row r="292" spans="4:5" ht="13">
      <c r="D292" s="2"/>
      <c r="E292" s="40"/>
    </row>
    <row r="293" spans="4:5" ht="13">
      <c r="D293" s="2"/>
      <c r="E293" s="40"/>
    </row>
    <row r="294" spans="4:5" ht="13">
      <c r="D294" s="2"/>
      <c r="E294" s="40"/>
    </row>
    <row r="295" spans="4:5" ht="13">
      <c r="D295" s="2"/>
      <c r="E295" s="40"/>
    </row>
    <row r="296" spans="4:5" ht="13">
      <c r="D296" s="2"/>
      <c r="E296" s="40"/>
    </row>
    <row r="297" spans="4:5" ht="13">
      <c r="D297" s="2"/>
      <c r="E297" s="40"/>
    </row>
    <row r="298" spans="4:5" ht="13">
      <c r="D298" s="2"/>
      <c r="E298" s="40"/>
    </row>
    <row r="299" spans="4:5" ht="13">
      <c r="D299" s="2"/>
      <c r="E299" s="40"/>
    </row>
    <row r="300" spans="4:5" ht="13">
      <c r="D300" s="2"/>
      <c r="E300" s="40"/>
    </row>
    <row r="301" spans="4:5" ht="13">
      <c r="D301" s="2"/>
      <c r="E301" s="40"/>
    </row>
    <row r="302" spans="4:5" ht="13">
      <c r="D302" s="2"/>
      <c r="E302" s="40"/>
    </row>
    <row r="303" spans="4:5" ht="13">
      <c r="D303" s="2"/>
      <c r="E303" s="40"/>
    </row>
    <row r="304" spans="4:5" ht="13">
      <c r="D304" s="2"/>
      <c r="E304" s="40"/>
    </row>
    <row r="305" spans="4:5" ht="13">
      <c r="D305" s="2"/>
      <c r="E305" s="40"/>
    </row>
    <row r="306" spans="4:5" ht="13">
      <c r="D306" s="2"/>
      <c r="E306" s="40"/>
    </row>
    <row r="307" spans="4:5" ht="13">
      <c r="D307" s="2"/>
      <c r="E307" s="40"/>
    </row>
    <row r="308" spans="4:5" ht="13">
      <c r="D308" s="2"/>
      <c r="E308" s="40"/>
    </row>
    <row r="309" spans="4:5" ht="13">
      <c r="D309" s="2"/>
      <c r="E309" s="40"/>
    </row>
    <row r="310" spans="4:5" ht="13">
      <c r="D310" s="2"/>
      <c r="E310" s="40"/>
    </row>
    <row r="311" spans="4:5" ht="13">
      <c r="D311" s="2"/>
      <c r="E311" s="40"/>
    </row>
    <row r="312" spans="4:5" ht="13">
      <c r="D312" s="2"/>
      <c r="E312" s="40"/>
    </row>
    <row r="313" spans="4:5" ht="13">
      <c r="D313" s="2"/>
      <c r="E313" s="40"/>
    </row>
    <row r="314" spans="4:5" ht="13">
      <c r="D314" s="2"/>
      <c r="E314" s="40"/>
    </row>
    <row r="315" spans="4:5" ht="13">
      <c r="D315" s="2"/>
      <c r="E315" s="40"/>
    </row>
    <row r="316" spans="4:5" ht="13">
      <c r="D316" s="2"/>
      <c r="E316" s="40"/>
    </row>
    <row r="317" spans="4:5" ht="13">
      <c r="D317" s="2"/>
      <c r="E317" s="40"/>
    </row>
    <row r="318" spans="4:5" ht="13">
      <c r="D318" s="2"/>
      <c r="E318" s="40"/>
    </row>
    <row r="319" spans="4:5" ht="13">
      <c r="D319" s="2"/>
      <c r="E319" s="40"/>
    </row>
    <row r="320" spans="4:5" ht="13">
      <c r="D320" s="2"/>
      <c r="E320" s="40"/>
    </row>
    <row r="321" spans="4:5" ht="13">
      <c r="D321" s="2"/>
      <c r="E321" s="40"/>
    </row>
    <row r="322" spans="4:5" ht="13">
      <c r="D322" s="2"/>
      <c r="E322" s="40"/>
    </row>
    <row r="323" spans="4:5" ht="13">
      <c r="D323" s="2"/>
      <c r="E323" s="40"/>
    </row>
    <row r="324" spans="4:5" ht="13">
      <c r="D324" s="2"/>
      <c r="E324" s="40"/>
    </row>
    <row r="325" spans="4:5" ht="13">
      <c r="D325" s="2"/>
      <c r="E325" s="40"/>
    </row>
    <row r="326" spans="4:5" ht="13">
      <c r="D326" s="2"/>
      <c r="E326" s="40"/>
    </row>
    <row r="327" spans="4:5" ht="13">
      <c r="D327" s="2"/>
      <c r="E327" s="40"/>
    </row>
    <row r="328" spans="4:5" ht="13">
      <c r="D328" s="2"/>
      <c r="E328" s="40"/>
    </row>
    <row r="329" spans="4:5" ht="13">
      <c r="D329" s="2"/>
      <c r="E329" s="40"/>
    </row>
    <row r="330" spans="4:5" ht="13">
      <c r="D330" s="2"/>
      <c r="E330" s="40"/>
    </row>
    <row r="331" spans="4:5" ht="13">
      <c r="D331" s="2"/>
      <c r="E331" s="40"/>
    </row>
    <row r="332" spans="4:5" ht="13">
      <c r="D332" s="2"/>
      <c r="E332" s="40"/>
    </row>
    <row r="333" spans="4:5" ht="13">
      <c r="D333" s="2"/>
      <c r="E333" s="40"/>
    </row>
    <row r="334" spans="4:5" ht="13">
      <c r="D334" s="2"/>
      <c r="E334" s="40"/>
    </row>
    <row r="335" spans="4:5" ht="13">
      <c r="D335" s="2"/>
      <c r="E335" s="40"/>
    </row>
    <row r="336" spans="4:5" ht="13">
      <c r="D336" s="2"/>
      <c r="E336" s="40"/>
    </row>
    <row r="337" spans="4:5" ht="13">
      <c r="D337" s="2"/>
      <c r="E337" s="40"/>
    </row>
    <row r="338" spans="4:5" ht="13">
      <c r="D338" s="2"/>
      <c r="E338" s="40"/>
    </row>
    <row r="339" spans="4:5" ht="13">
      <c r="D339" s="2"/>
      <c r="E339" s="40"/>
    </row>
    <row r="340" spans="4:5" ht="13">
      <c r="D340" s="2"/>
      <c r="E340" s="40"/>
    </row>
    <row r="341" spans="4:5" ht="13">
      <c r="D341" s="2"/>
      <c r="E341" s="40"/>
    </row>
    <row r="342" spans="4:5" ht="13">
      <c r="D342" s="2"/>
      <c r="E342" s="40"/>
    </row>
    <row r="343" spans="4:5" ht="13">
      <c r="D343" s="2"/>
      <c r="E343" s="40"/>
    </row>
    <row r="344" spans="4:5" ht="13">
      <c r="D344" s="2"/>
      <c r="E344" s="40"/>
    </row>
    <row r="345" spans="4:5" ht="13">
      <c r="D345" s="2"/>
      <c r="E345" s="40"/>
    </row>
    <row r="346" spans="4:5" ht="13">
      <c r="D346" s="2"/>
      <c r="E346" s="40"/>
    </row>
    <row r="347" spans="4:5" ht="13">
      <c r="D347" s="2"/>
      <c r="E347" s="40"/>
    </row>
    <row r="348" spans="4:5" ht="13">
      <c r="D348" s="2"/>
      <c r="E348" s="40"/>
    </row>
    <row r="349" spans="4:5" ht="13">
      <c r="D349" s="2"/>
      <c r="E349" s="40"/>
    </row>
    <row r="350" spans="4:5" ht="13">
      <c r="D350" s="2"/>
      <c r="E350" s="40"/>
    </row>
    <row r="351" spans="4:5" ht="13">
      <c r="D351" s="2"/>
      <c r="E351" s="40"/>
    </row>
    <row r="352" spans="4:5" ht="13">
      <c r="D352" s="2"/>
      <c r="E352" s="40"/>
    </row>
    <row r="353" spans="4:5" ht="13">
      <c r="D353" s="2"/>
      <c r="E353" s="40"/>
    </row>
    <row r="354" spans="4:5" ht="13">
      <c r="D354" s="2"/>
      <c r="E354" s="40"/>
    </row>
    <row r="355" spans="4:5" ht="13">
      <c r="D355" s="2"/>
      <c r="E355" s="40"/>
    </row>
    <row r="356" spans="4:5" ht="13">
      <c r="D356" s="2"/>
      <c r="E356" s="40"/>
    </row>
    <row r="357" spans="4:5" ht="13">
      <c r="D357" s="2"/>
      <c r="E357" s="40"/>
    </row>
    <row r="358" spans="4:5" ht="13">
      <c r="D358" s="2"/>
      <c r="E358" s="40"/>
    </row>
    <row r="359" spans="4:5" ht="13">
      <c r="D359" s="2"/>
      <c r="E359" s="40"/>
    </row>
    <row r="360" spans="4:5" ht="13">
      <c r="D360" s="2"/>
      <c r="E360" s="40"/>
    </row>
    <row r="361" spans="4:5" ht="13">
      <c r="D361" s="2"/>
      <c r="E361" s="40"/>
    </row>
    <row r="362" spans="4:5" ht="13">
      <c r="D362" s="2"/>
      <c r="E362" s="40"/>
    </row>
    <row r="363" spans="4:5" ht="13">
      <c r="D363" s="2"/>
      <c r="E363" s="40"/>
    </row>
    <row r="364" spans="4:5" ht="13">
      <c r="D364" s="2"/>
      <c r="E364" s="40"/>
    </row>
    <row r="365" spans="4:5" ht="13">
      <c r="D365" s="2"/>
      <c r="E365" s="40"/>
    </row>
    <row r="366" spans="4:5" ht="13">
      <c r="D366" s="2"/>
      <c r="E366" s="40"/>
    </row>
    <row r="367" spans="4:5" ht="13">
      <c r="D367" s="2"/>
      <c r="E367" s="40"/>
    </row>
    <row r="368" spans="4:5" ht="13">
      <c r="D368" s="2"/>
      <c r="E368" s="40"/>
    </row>
    <row r="369" spans="4:5" ht="13">
      <c r="D369" s="2"/>
      <c r="E369" s="40"/>
    </row>
    <row r="370" spans="4:5" ht="13">
      <c r="D370" s="2"/>
      <c r="E370" s="6"/>
    </row>
    <row r="371" spans="4:5" ht="13">
      <c r="D371" s="2"/>
      <c r="E371" s="6"/>
    </row>
    <row r="372" spans="4:5" ht="13">
      <c r="D372" s="2"/>
      <c r="E372" s="6"/>
    </row>
    <row r="373" spans="4:5" ht="13">
      <c r="D373" s="2"/>
      <c r="E373" s="6"/>
    </row>
    <row r="374" spans="4:5" ht="13">
      <c r="D374" s="2"/>
      <c r="E374" s="6"/>
    </row>
    <row r="375" spans="4:5" ht="13">
      <c r="D375" s="2"/>
      <c r="E375" s="6"/>
    </row>
    <row r="376" spans="4:5" ht="13">
      <c r="D376" s="2"/>
      <c r="E376" s="6"/>
    </row>
    <row r="377" spans="4:5" ht="13">
      <c r="D377" s="2"/>
      <c r="E377" s="6"/>
    </row>
    <row r="378" spans="4:5" ht="13">
      <c r="D378" s="2"/>
      <c r="E378" s="6"/>
    </row>
    <row r="379" spans="4:5" ht="13">
      <c r="D379" s="2"/>
      <c r="E379" s="6"/>
    </row>
    <row r="380" spans="4:5" ht="13">
      <c r="D380" s="2"/>
      <c r="E380" s="6"/>
    </row>
    <row r="381" spans="4:5" ht="13">
      <c r="D381" s="2"/>
      <c r="E381" s="6"/>
    </row>
    <row r="382" spans="4:5" ht="13">
      <c r="D382" s="2"/>
      <c r="E382" s="6"/>
    </row>
    <row r="383" spans="4:5" ht="13">
      <c r="D383" s="2"/>
      <c r="E383" s="6"/>
    </row>
    <row r="384" spans="4:5" ht="13">
      <c r="D384" s="2"/>
      <c r="E384" s="6"/>
    </row>
    <row r="385" spans="4:5" ht="13">
      <c r="D385" s="2"/>
      <c r="E385" s="6"/>
    </row>
    <row r="386" spans="4:5" ht="13">
      <c r="D386" s="2"/>
      <c r="E386" s="6"/>
    </row>
    <row r="387" spans="4:5" ht="13">
      <c r="D387" s="2"/>
      <c r="E387" s="6"/>
    </row>
    <row r="388" spans="4:5" ht="13">
      <c r="D388" s="2"/>
      <c r="E388" s="6"/>
    </row>
    <row r="389" spans="4:5" ht="13">
      <c r="D389" s="2"/>
      <c r="E389" s="6"/>
    </row>
    <row r="390" spans="4:5" ht="13">
      <c r="D390" s="2"/>
      <c r="E390" s="6"/>
    </row>
    <row r="391" spans="4:5" ht="13">
      <c r="D391" s="2"/>
      <c r="E391" s="6"/>
    </row>
    <row r="392" spans="4:5" ht="13">
      <c r="D392" s="2"/>
      <c r="E392" s="6"/>
    </row>
    <row r="393" spans="4:5" ht="13">
      <c r="D393" s="2"/>
      <c r="E393" s="6"/>
    </row>
    <row r="394" spans="4:5" ht="13">
      <c r="D394" s="2"/>
      <c r="E394" s="6"/>
    </row>
    <row r="395" spans="4:5" ht="13">
      <c r="D395" s="2"/>
      <c r="E395" s="6"/>
    </row>
    <row r="396" spans="4:5" ht="13">
      <c r="D396" s="2"/>
      <c r="E396" s="6"/>
    </row>
    <row r="397" spans="4:5" ht="13">
      <c r="D397" s="2"/>
      <c r="E397" s="6"/>
    </row>
    <row r="398" spans="4:5" ht="13">
      <c r="D398" s="2"/>
      <c r="E398" s="6"/>
    </row>
    <row r="399" spans="4:5" ht="13">
      <c r="D399" s="2"/>
      <c r="E399" s="6"/>
    </row>
    <row r="400" spans="4:5" ht="13">
      <c r="D400" s="2"/>
      <c r="E400" s="6"/>
    </row>
    <row r="401" spans="4:5" ht="13">
      <c r="D401" s="2"/>
      <c r="E401" s="6"/>
    </row>
    <row r="402" spans="4:5" ht="13">
      <c r="D402" s="2"/>
      <c r="E402" s="6"/>
    </row>
    <row r="403" spans="4:5" ht="13">
      <c r="D403" s="2"/>
      <c r="E403" s="6"/>
    </row>
    <row r="404" spans="4:5" ht="13">
      <c r="D404" s="2"/>
      <c r="E404" s="6"/>
    </row>
    <row r="405" spans="4:5" ht="13">
      <c r="D405" s="2"/>
      <c r="E405" s="6"/>
    </row>
    <row r="406" spans="4:5" ht="13">
      <c r="D406" s="2"/>
      <c r="E406" s="6"/>
    </row>
    <row r="407" spans="4:5" ht="13">
      <c r="D407" s="2"/>
      <c r="E407" s="6"/>
    </row>
    <row r="408" spans="4:5" ht="13">
      <c r="D408" s="2"/>
      <c r="E408" s="6"/>
    </row>
    <row r="409" spans="4:5" ht="13">
      <c r="D409" s="2"/>
      <c r="E409" s="6"/>
    </row>
    <row r="410" spans="4:5" ht="13">
      <c r="D410" s="2"/>
      <c r="E410" s="6"/>
    </row>
    <row r="411" spans="4:5" ht="13">
      <c r="D411" s="2"/>
      <c r="E411" s="6"/>
    </row>
    <row r="412" spans="4:5" ht="13">
      <c r="D412" s="2"/>
      <c r="E412" s="6"/>
    </row>
    <row r="413" spans="4:5" ht="13">
      <c r="D413" s="2"/>
      <c r="E413" s="6"/>
    </row>
    <row r="414" spans="4:5" ht="13">
      <c r="D414" s="2"/>
      <c r="E414" s="6"/>
    </row>
    <row r="415" spans="4:5" ht="13">
      <c r="D415" s="2"/>
      <c r="E415" s="6"/>
    </row>
    <row r="416" spans="4:5" ht="13">
      <c r="D416" s="2"/>
      <c r="E416" s="6"/>
    </row>
    <row r="417" spans="4:5" ht="13">
      <c r="D417" s="2"/>
      <c r="E417" s="6"/>
    </row>
    <row r="418" spans="4:5" ht="13">
      <c r="D418" s="2"/>
      <c r="E418" s="6"/>
    </row>
    <row r="419" spans="4:5" ht="13">
      <c r="D419" s="2"/>
      <c r="E419" s="6"/>
    </row>
    <row r="420" spans="4:5" ht="13">
      <c r="D420" s="2"/>
      <c r="E420" s="6"/>
    </row>
    <row r="421" spans="4:5" ht="13">
      <c r="D421" s="2"/>
      <c r="E421" s="6"/>
    </row>
    <row r="422" spans="4:5" ht="13">
      <c r="D422" s="2"/>
      <c r="E422" s="6"/>
    </row>
    <row r="423" spans="4:5" ht="13">
      <c r="D423" s="2"/>
      <c r="E423" s="6"/>
    </row>
    <row r="424" spans="4:5" ht="13">
      <c r="D424" s="2"/>
      <c r="E424" s="6"/>
    </row>
    <row r="425" spans="4:5" ht="13">
      <c r="D425" s="2"/>
      <c r="E425" s="6"/>
    </row>
    <row r="426" spans="4:5" ht="13">
      <c r="D426" s="2"/>
      <c r="E426" s="6"/>
    </row>
    <row r="427" spans="4:5" ht="13">
      <c r="D427" s="2"/>
      <c r="E427" s="6"/>
    </row>
    <row r="428" spans="4:5" ht="13">
      <c r="D428" s="2"/>
      <c r="E428" s="6"/>
    </row>
    <row r="429" spans="4:5" ht="13">
      <c r="D429" s="2"/>
      <c r="E429" s="6"/>
    </row>
    <row r="430" spans="4:5" ht="13">
      <c r="D430" s="2"/>
      <c r="E430" s="6"/>
    </row>
    <row r="431" spans="4:5" ht="13">
      <c r="D431" s="2"/>
      <c r="E431" s="6"/>
    </row>
    <row r="432" spans="4:5" ht="13">
      <c r="D432" s="2"/>
      <c r="E432" s="6"/>
    </row>
    <row r="433" spans="4:5" ht="13">
      <c r="D433" s="2"/>
      <c r="E433" s="6"/>
    </row>
    <row r="434" spans="4:5" ht="13">
      <c r="D434" s="2"/>
      <c r="E434" s="6"/>
    </row>
    <row r="435" spans="4:5" ht="13">
      <c r="D435" s="2"/>
      <c r="E435" s="6"/>
    </row>
    <row r="436" spans="4:5" ht="13">
      <c r="D436" s="2"/>
      <c r="E436" s="6"/>
    </row>
    <row r="437" spans="4:5" ht="13">
      <c r="D437" s="2"/>
      <c r="E437" s="6"/>
    </row>
    <row r="438" spans="4:5" ht="13">
      <c r="D438" s="2"/>
      <c r="E438" s="6"/>
    </row>
    <row r="439" spans="4:5" ht="13">
      <c r="D439" s="2"/>
      <c r="E439" s="6"/>
    </row>
    <row r="440" spans="4:5" ht="13">
      <c r="D440" s="2"/>
      <c r="E440" s="6"/>
    </row>
    <row r="441" spans="4:5" ht="13">
      <c r="D441" s="2"/>
      <c r="E441" s="6"/>
    </row>
    <row r="442" spans="4:5" ht="13">
      <c r="D442" s="2"/>
      <c r="E442" s="6"/>
    </row>
    <row r="443" spans="4:5" ht="13">
      <c r="D443" s="2"/>
      <c r="E443" s="6"/>
    </row>
    <row r="444" spans="4:5" ht="13">
      <c r="D444" s="2"/>
      <c r="E444" s="6"/>
    </row>
    <row r="445" spans="4:5" ht="13">
      <c r="D445" s="2"/>
      <c r="E445" s="6"/>
    </row>
    <row r="446" spans="4:5" ht="13">
      <c r="D446" s="2"/>
      <c r="E446" s="6"/>
    </row>
    <row r="447" spans="4:5" ht="13">
      <c r="D447" s="2"/>
      <c r="E447" s="6"/>
    </row>
    <row r="448" spans="4:5" ht="13">
      <c r="D448" s="2"/>
      <c r="E448" s="6"/>
    </row>
    <row r="449" spans="4:5" ht="13">
      <c r="D449" s="2"/>
      <c r="E449" s="6"/>
    </row>
    <row r="450" spans="4:5" ht="13">
      <c r="D450" s="2"/>
      <c r="E450" s="6"/>
    </row>
    <row r="451" spans="4:5" ht="13">
      <c r="D451" s="2"/>
      <c r="E451" s="6"/>
    </row>
    <row r="452" spans="4:5" ht="13">
      <c r="D452" s="2"/>
      <c r="E452" s="6"/>
    </row>
    <row r="453" spans="4:5" ht="13">
      <c r="D453" s="2"/>
      <c r="E453" s="6"/>
    </row>
    <row r="454" spans="4:5" ht="13">
      <c r="D454" s="2"/>
      <c r="E454" s="6"/>
    </row>
    <row r="455" spans="4:5" ht="13">
      <c r="D455" s="2"/>
      <c r="E455" s="6"/>
    </row>
    <row r="456" spans="4:5" ht="13">
      <c r="D456" s="2"/>
      <c r="E456" s="6"/>
    </row>
    <row r="457" spans="4:5" ht="13">
      <c r="D457" s="2"/>
      <c r="E457" s="6"/>
    </row>
    <row r="458" spans="4:5" ht="13">
      <c r="D458" s="2"/>
      <c r="E458" s="6"/>
    </row>
    <row r="459" spans="4:5" ht="13">
      <c r="D459" s="2"/>
      <c r="E459" s="6"/>
    </row>
    <row r="460" spans="4:5" ht="13">
      <c r="D460" s="2"/>
      <c r="E460" s="6"/>
    </row>
    <row r="461" spans="4:5" ht="13">
      <c r="D461" s="2"/>
      <c r="E461" s="6"/>
    </row>
    <row r="462" spans="4:5" ht="13">
      <c r="D462" s="2"/>
      <c r="E462" s="6"/>
    </row>
    <row r="463" spans="4:5" ht="13">
      <c r="D463" s="2"/>
      <c r="E463" s="6"/>
    </row>
    <row r="464" spans="4:5" ht="13">
      <c r="D464" s="2"/>
      <c r="E464" s="6"/>
    </row>
    <row r="465" spans="4:5" ht="13">
      <c r="D465" s="2"/>
      <c r="E465" s="6"/>
    </row>
    <row r="466" spans="4:5" ht="13">
      <c r="D466" s="2"/>
      <c r="E466" s="6"/>
    </row>
    <row r="467" spans="4:5" ht="13">
      <c r="D467" s="2"/>
      <c r="E467" s="6"/>
    </row>
    <row r="468" spans="4:5" ht="13">
      <c r="D468" s="2"/>
      <c r="E468" s="6"/>
    </row>
    <row r="469" spans="4:5" ht="13">
      <c r="D469" s="2"/>
      <c r="E469" s="6"/>
    </row>
    <row r="470" spans="4:5" ht="13">
      <c r="D470" s="2"/>
      <c r="E470" s="6"/>
    </row>
    <row r="471" spans="4:5" ht="13">
      <c r="D471" s="2"/>
      <c r="E471" s="6"/>
    </row>
    <row r="472" spans="4:5" ht="13">
      <c r="D472" s="2"/>
      <c r="E472" s="6"/>
    </row>
    <row r="473" spans="4:5" ht="13">
      <c r="D473" s="2"/>
      <c r="E473" s="6"/>
    </row>
    <row r="474" spans="4:5" ht="13">
      <c r="D474" s="2"/>
      <c r="E474" s="6"/>
    </row>
    <row r="475" spans="4:5" ht="13">
      <c r="D475" s="2"/>
      <c r="E475" s="6"/>
    </row>
    <row r="476" spans="4:5" ht="13">
      <c r="D476" s="2"/>
      <c r="E476" s="6"/>
    </row>
    <row r="477" spans="4:5" ht="13">
      <c r="D477" s="2"/>
      <c r="E477" s="6"/>
    </row>
    <row r="478" spans="4:5" ht="13">
      <c r="D478" s="2"/>
      <c r="E478" s="6"/>
    </row>
    <row r="479" spans="4:5" ht="13">
      <c r="D479" s="2"/>
      <c r="E479" s="6"/>
    </row>
    <row r="480" spans="4:5" ht="13">
      <c r="D480" s="2"/>
      <c r="E480" s="6"/>
    </row>
    <row r="481" spans="4:5" ht="13">
      <c r="D481" s="2"/>
      <c r="E481" s="6"/>
    </row>
    <row r="482" spans="4:5" ht="13">
      <c r="D482" s="2"/>
      <c r="E482" s="6"/>
    </row>
    <row r="483" spans="4:5" ht="13">
      <c r="D483" s="2"/>
      <c r="E483" s="6"/>
    </row>
    <row r="484" spans="4:5" ht="13">
      <c r="D484" s="2"/>
      <c r="E484" s="6"/>
    </row>
    <row r="485" spans="4:5" ht="13">
      <c r="D485" s="2"/>
      <c r="E485" s="6"/>
    </row>
    <row r="486" spans="4:5" ht="13">
      <c r="D486" s="2"/>
      <c r="E486" s="6"/>
    </row>
    <row r="487" spans="4:5" ht="13">
      <c r="D487" s="2"/>
      <c r="E487" s="6"/>
    </row>
    <row r="488" spans="4:5" ht="13">
      <c r="D488" s="2"/>
      <c r="E488" s="6"/>
    </row>
    <row r="489" spans="4:5" ht="13">
      <c r="D489" s="2"/>
      <c r="E489" s="6"/>
    </row>
    <row r="490" spans="4:5" ht="13">
      <c r="D490" s="2"/>
      <c r="E490" s="6"/>
    </row>
    <row r="491" spans="4:5" ht="13">
      <c r="D491" s="2"/>
      <c r="E491" s="6"/>
    </row>
    <row r="492" spans="4:5" ht="13">
      <c r="D492" s="2"/>
      <c r="E492" s="6"/>
    </row>
    <row r="493" spans="4:5" ht="13">
      <c r="D493" s="2"/>
      <c r="E493" s="6"/>
    </row>
    <row r="494" spans="4:5" ht="13">
      <c r="D494" s="2"/>
      <c r="E494" s="6"/>
    </row>
    <row r="495" spans="4:5" ht="13">
      <c r="D495" s="2"/>
      <c r="E495" s="6"/>
    </row>
    <row r="496" spans="4:5" ht="13">
      <c r="D496" s="2"/>
      <c r="E496" s="6"/>
    </row>
    <row r="497" spans="4:5" ht="13">
      <c r="D497" s="2"/>
      <c r="E497" s="6"/>
    </row>
    <row r="498" spans="4:5" ht="13">
      <c r="D498" s="2"/>
      <c r="E498" s="6"/>
    </row>
    <row r="499" spans="4:5" ht="13">
      <c r="D499" s="2"/>
      <c r="E499" s="6"/>
    </row>
    <row r="500" spans="4:5" ht="13">
      <c r="D500" s="2"/>
      <c r="E500" s="6"/>
    </row>
    <row r="501" spans="4:5" ht="13">
      <c r="D501" s="2"/>
      <c r="E501" s="6"/>
    </row>
    <row r="502" spans="4:5" ht="13">
      <c r="D502" s="2"/>
      <c r="E502" s="6"/>
    </row>
    <row r="503" spans="4:5" ht="13">
      <c r="D503" s="2"/>
      <c r="E503" s="6"/>
    </row>
    <row r="504" spans="4:5" ht="13">
      <c r="D504" s="2"/>
      <c r="E504" s="6"/>
    </row>
    <row r="505" spans="4:5" ht="13">
      <c r="D505" s="2"/>
      <c r="E505" s="6"/>
    </row>
    <row r="506" spans="4:5" ht="13">
      <c r="D506" s="2"/>
      <c r="E506" s="6"/>
    </row>
    <row r="507" spans="4:5" ht="13">
      <c r="D507" s="2"/>
      <c r="E507" s="6"/>
    </row>
    <row r="508" spans="4:5" ht="13">
      <c r="D508" s="2"/>
      <c r="E508" s="6"/>
    </row>
    <row r="509" spans="4:5" ht="13">
      <c r="D509" s="2"/>
      <c r="E509" s="6"/>
    </row>
    <row r="510" spans="4:5" ht="13">
      <c r="D510" s="2"/>
      <c r="E510" s="6"/>
    </row>
    <row r="511" spans="4:5" ht="13">
      <c r="D511" s="2"/>
      <c r="E511" s="6"/>
    </row>
    <row r="512" spans="4:5" ht="13">
      <c r="D512" s="2"/>
      <c r="E512" s="6"/>
    </row>
    <row r="513" spans="4:5" ht="13">
      <c r="D513" s="2"/>
      <c r="E513" s="6"/>
    </row>
    <row r="514" spans="4:5" ht="13">
      <c r="D514" s="2"/>
      <c r="E514" s="6"/>
    </row>
    <row r="515" spans="4:5" ht="13">
      <c r="D515" s="2"/>
      <c r="E515" s="6"/>
    </row>
    <row r="516" spans="4:5" ht="13">
      <c r="D516" s="2"/>
      <c r="E516" s="6"/>
    </row>
    <row r="517" spans="4:5" ht="13">
      <c r="D517" s="2"/>
      <c r="E517" s="6"/>
    </row>
    <row r="518" spans="4:5" ht="13">
      <c r="D518" s="2"/>
      <c r="E518" s="6"/>
    </row>
    <row r="519" spans="4:5" ht="13">
      <c r="D519" s="2"/>
      <c r="E519" s="6"/>
    </row>
    <row r="520" spans="4:5" ht="13">
      <c r="D520" s="2"/>
      <c r="E520" s="6"/>
    </row>
    <row r="521" spans="4:5" ht="13">
      <c r="D521" s="2"/>
      <c r="E521" s="6"/>
    </row>
    <row r="522" spans="4:5" ht="13">
      <c r="D522" s="2"/>
      <c r="E522" s="6"/>
    </row>
    <row r="523" spans="4:5" ht="13">
      <c r="D523" s="2"/>
      <c r="E523" s="6"/>
    </row>
    <row r="524" spans="4:5" ht="13">
      <c r="D524" s="2"/>
      <c r="E524" s="6"/>
    </row>
    <row r="525" spans="4:5" ht="13">
      <c r="D525" s="2"/>
      <c r="E525" s="6"/>
    </row>
    <row r="526" spans="4:5" ht="13">
      <c r="D526" s="2"/>
      <c r="E526" s="6"/>
    </row>
    <row r="527" spans="4:5" ht="13">
      <c r="D527" s="2"/>
      <c r="E527" s="6"/>
    </row>
    <row r="528" spans="4:5" ht="13">
      <c r="D528" s="2"/>
      <c r="E528" s="6"/>
    </row>
    <row r="529" spans="4:5" ht="13">
      <c r="D529" s="2"/>
      <c r="E529" s="6"/>
    </row>
    <row r="530" spans="4:5" ht="13">
      <c r="D530" s="2"/>
      <c r="E530" s="6"/>
    </row>
    <row r="531" spans="4:5" ht="13">
      <c r="D531" s="2"/>
      <c r="E531" s="6"/>
    </row>
    <row r="532" spans="4:5" ht="13">
      <c r="D532" s="2"/>
      <c r="E532" s="6"/>
    </row>
    <row r="533" spans="4:5" ht="13">
      <c r="D533" s="2"/>
      <c r="E533" s="6"/>
    </row>
    <row r="534" spans="4:5" ht="13">
      <c r="D534" s="2"/>
      <c r="E534" s="6"/>
    </row>
    <row r="535" spans="4:5" ht="13">
      <c r="D535" s="2"/>
      <c r="E535" s="6"/>
    </row>
    <row r="536" spans="4:5" ht="13">
      <c r="D536" s="2"/>
      <c r="E536" s="6"/>
    </row>
    <row r="537" spans="4:5" ht="13">
      <c r="D537" s="2"/>
      <c r="E537" s="6"/>
    </row>
    <row r="538" spans="4:5" ht="13">
      <c r="D538" s="2"/>
      <c r="E538" s="6"/>
    </row>
    <row r="539" spans="4:5" ht="13">
      <c r="D539" s="2"/>
      <c r="E539" s="6"/>
    </row>
    <row r="540" spans="4:5" ht="13">
      <c r="D540" s="2"/>
      <c r="E540" s="6"/>
    </row>
    <row r="541" spans="4:5" ht="13">
      <c r="D541" s="2"/>
      <c r="E541" s="6"/>
    </row>
    <row r="542" spans="4:5" ht="13">
      <c r="D542" s="2"/>
      <c r="E542" s="6"/>
    </row>
    <row r="543" spans="4:5" ht="13">
      <c r="D543" s="2"/>
      <c r="E543" s="6"/>
    </row>
    <row r="544" spans="4:5" ht="13">
      <c r="D544" s="2"/>
      <c r="E544" s="6"/>
    </row>
    <row r="545" spans="4:5" ht="13">
      <c r="D545" s="2"/>
      <c r="E545" s="6"/>
    </row>
    <row r="546" spans="4:5" ht="13">
      <c r="D546" s="2"/>
      <c r="E546" s="6"/>
    </row>
    <row r="547" spans="4:5" ht="13">
      <c r="D547" s="2"/>
      <c r="E547" s="6"/>
    </row>
    <row r="548" spans="4:5" ht="13">
      <c r="D548" s="2"/>
      <c r="E548" s="6"/>
    </row>
    <row r="549" spans="4:5" ht="13">
      <c r="D549" s="2"/>
      <c r="E549" s="6"/>
    </row>
    <row r="550" spans="4:5" ht="13">
      <c r="D550" s="2"/>
      <c r="E550" s="6"/>
    </row>
    <row r="551" spans="4:5" ht="13">
      <c r="D551" s="2"/>
      <c r="E551" s="6"/>
    </row>
    <row r="552" spans="4:5" ht="13">
      <c r="D552" s="2"/>
      <c r="E552" s="6"/>
    </row>
    <row r="553" spans="4:5" ht="13">
      <c r="D553" s="2"/>
      <c r="E553" s="6"/>
    </row>
    <row r="554" spans="4:5" ht="13">
      <c r="D554" s="2"/>
      <c r="E554" s="6"/>
    </row>
    <row r="555" spans="4:5" ht="13">
      <c r="D555" s="2"/>
      <c r="E555" s="6"/>
    </row>
    <row r="556" spans="4:5" ht="13">
      <c r="D556" s="2"/>
      <c r="E556" s="6"/>
    </row>
    <row r="557" spans="4:5" ht="13">
      <c r="D557" s="2"/>
      <c r="E557" s="6"/>
    </row>
    <row r="558" spans="4:5" ht="13">
      <c r="D558" s="2"/>
      <c r="E558" s="6"/>
    </row>
    <row r="559" spans="4:5" ht="13">
      <c r="D559" s="2"/>
      <c r="E559" s="6"/>
    </row>
    <row r="560" spans="4:5" ht="13">
      <c r="D560" s="2"/>
      <c r="E560" s="6"/>
    </row>
    <row r="561" spans="4:5" ht="13">
      <c r="D561" s="2"/>
      <c r="E561" s="6"/>
    </row>
    <row r="562" spans="4:5" ht="13">
      <c r="D562" s="2"/>
      <c r="E562" s="6"/>
    </row>
    <row r="563" spans="4:5" ht="13">
      <c r="D563" s="2"/>
      <c r="E563" s="6"/>
    </row>
    <row r="564" spans="4:5" ht="13">
      <c r="D564" s="2"/>
      <c r="E564" s="6"/>
    </row>
    <row r="565" spans="4:5" ht="13">
      <c r="D565" s="2"/>
      <c r="E565" s="6"/>
    </row>
    <row r="566" spans="4:5" ht="13">
      <c r="D566" s="2"/>
      <c r="E566" s="6"/>
    </row>
    <row r="567" spans="4:5" ht="13">
      <c r="D567" s="2"/>
      <c r="E567" s="6"/>
    </row>
    <row r="568" spans="4:5" ht="13">
      <c r="D568" s="2"/>
      <c r="E568" s="6"/>
    </row>
    <row r="569" spans="4:5" ht="13">
      <c r="D569" s="2"/>
      <c r="E569" s="6"/>
    </row>
    <row r="570" spans="4:5" ht="13">
      <c r="D570" s="2"/>
      <c r="E570" s="6"/>
    </row>
    <row r="571" spans="4:5" ht="13">
      <c r="D571" s="2"/>
      <c r="E571" s="6"/>
    </row>
    <row r="572" spans="4:5" ht="13">
      <c r="D572" s="2"/>
      <c r="E572" s="6"/>
    </row>
    <row r="573" spans="4:5" ht="13">
      <c r="D573" s="2"/>
      <c r="E573" s="6"/>
    </row>
    <row r="574" spans="4:5" ht="13">
      <c r="D574" s="2"/>
      <c r="E574" s="6"/>
    </row>
    <row r="575" spans="4:5" ht="13">
      <c r="D575" s="2"/>
      <c r="E575" s="6"/>
    </row>
    <row r="576" spans="4:5" ht="13">
      <c r="D576" s="2"/>
      <c r="E576" s="6"/>
    </row>
    <row r="577" spans="4:5" ht="13">
      <c r="D577" s="2"/>
      <c r="E577" s="6"/>
    </row>
    <row r="578" spans="4:5" ht="13">
      <c r="D578" s="2"/>
      <c r="E578" s="6"/>
    </row>
    <row r="579" spans="4:5" ht="13">
      <c r="D579" s="2"/>
      <c r="E579" s="6"/>
    </row>
    <row r="580" spans="4:5" ht="13">
      <c r="D580" s="2"/>
      <c r="E580" s="6"/>
    </row>
    <row r="581" spans="4:5" ht="13">
      <c r="D581" s="2"/>
      <c r="E581" s="6"/>
    </row>
    <row r="582" spans="4:5" ht="13">
      <c r="D582" s="2"/>
      <c r="E582" s="6"/>
    </row>
    <row r="583" spans="4:5" ht="13">
      <c r="D583" s="2"/>
      <c r="E583" s="6"/>
    </row>
    <row r="584" spans="4:5" ht="13">
      <c r="D584" s="2"/>
      <c r="E584" s="6"/>
    </row>
    <row r="585" spans="4:5" ht="13">
      <c r="D585" s="2"/>
      <c r="E585" s="6"/>
    </row>
    <row r="586" spans="4:5" ht="13">
      <c r="D586" s="2"/>
      <c r="E586" s="6"/>
    </row>
    <row r="587" spans="4:5" ht="13">
      <c r="D587" s="2"/>
      <c r="E587" s="6"/>
    </row>
    <row r="588" spans="4:5" ht="13">
      <c r="D588" s="2"/>
      <c r="E588" s="6"/>
    </row>
    <row r="589" spans="4:5" ht="13">
      <c r="D589" s="2"/>
      <c r="E589" s="6"/>
    </row>
    <row r="590" spans="4:5" ht="13">
      <c r="D590" s="2"/>
      <c r="E590" s="6"/>
    </row>
    <row r="591" spans="4:5" ht="13">
      <c r="D591" s="2"/>
      <c r="E591" s="6"/>
    </row>
    <row r="592" spans="4:5" ht="13">
      <c r="D592" s="2"/>
      <c r="E592" s="6"/>
    </row>
    <row r="593" spans="4:5" ht="13">
      <c r="D593" s="2"/>
      <c r="E593" s="6"/>
    </row>
    <row r="594" spans="4:5" ht="13">
      <c r="D594" s="2"/>
      <c r="E594" s="6"/>
    </row>
    <row r="595" spans="4:5" ht="13">
      <c r="D595" s="2"/>
      <c r="E595" s="6"/>
    </row>
    <row r="596" spans="4:5" ht="13">
      <c r="D596" s="2"/>
      <c r="E596" s="6"/>
    </row>
    <row r="597" spans="4:5" ht="13">
      <c r="D597" s="2"/>
      <c r="E597" s="6"/>
    </row>
    <row r="598" spans="4:5" ht="13">
      <c r="D598" s="2"/>
      <c r="E598" s="6"/>
    </row>
    <row r="599" spans="4:5" ht="13">
      <c r="D599" s="2"/>
      <c r="E599" s="6"/>
    </row>
    <row r="600" spans="4:5" ht="13">
      <c r="D600" s="2"/>
      <c r="E600" s="6"/>
    </row>
    <row r="601" spans="4:5" ht="13">
      <c r="D601" s="2"/>
      <c r="E601" s="6"/>
    </row>
    <row r="602" spans="4:5" ht="13">
      <c r="D602" s="2"/>
      <c r="E602" s="6"/>
    </row>
    <row r="603" spans="4:5" ht="13">
      <c r="D603" s="2"/>
      <c r="E603" s="6"/>
    </row>
    <row r="604" spans="4:5" ht="13">
      <c r="D604" s="2"/>
      <c r="E604" s="6"/>
    </row>
    <row r="605" spans="4:5" ht="13">
      <c r="D605" s="2"/>
      <c r="E605" s="6"/>
    </row>
    <row r="606" spans="4:5" ht="13">
      <c r="D606" s="2"/>
      <c r="E606" s="6"/>
    </row>
    <row r="607" spans="4:5" ht="13">
      <c r="D607" s="2"/>
      <c r="E607" s="6"/>
    </row>
    <row r="608" spans="4:5" ht="13">
      <c r="D608" s="2"/>
      <c r="E608" s="6"/>
    </row>
    <row r="609" spans="4:5" ht="13">
      <c r="D609" s="2"/>
      <c r="E609" s="6"/>
    </row>
    <row r="610" spans="4:5" ht="13">
      <c r="D610" s="2"/>
      <c r="E610" s="6"/>
    </row>
    <row r="611" spans="4:5" ht="13">
      <c r="D611" s="2"/>
      <c r="E611" s="6"/>
    </row>
    <row r="612" spans="4:5" ht="13">
      <c r="D612" s="2"/>
      <c r="E612" s="6"/>
    </row>
    <row r="613" spans="4:5" ht="13">
      <c r="D613" s="2"/>
      <c r="E613" s="6"/>
    </row>
    <row r="614" spans="4:5" ht="13">
      <c r="D614" s="2"/>
      <c r="E614" s="6"/>
    </row>
    <row r="615" spans="4:5" ht="13">
      <c r="D615" s="2"/>
      <c r="E615" s="6"/>
    </row>
    <row r="616" spans="4:5" ht="13">
      <c r="D616" s="2"/>
      <c r="E616" s="6"/>
    </row>
    <row r="617" spans="4:5" ht="13">
      <c r="D617" s="2"/>
      <c r="E617" s="6"/>
    </row>
    <row r="618" spans="4:5" ht="13">
      <c r="D618" s="2"/>
      <c r="E618" s="6"/>
    </row>
    <row r="619" spans="4:5" ht="13">
      <c r="D619" s="2"/>
      <c r="E619" s="6"/>
    </row>
    <row r="620" spans="4:5" ht="13">
      <c r="D620" s="2"/>
      <c r="E620" s="6"/>
    </row>
    <row r="621" spans="4:5" ht="13">
      <c r="D621" s="2"/>
      <c r="E621" s="6"/>
    </row>
    <row r="622" spans="4:5" ht="13">
      <c r="D622" s="2"/>
      <c r="E622" s="6"/>
    </row>
    <row r="623" spans="4:5" ht="13">
      <c r="D623" s="2"/>
      <c r="E623" s="6"/>
    </row>
    <row r="624" spans="4:5" ht="13">
      <c r="D624" s="2"/>
      <c r="E624" s="6"/>
    </row>
    <row r="625" spans="4:5" ht="13">
      <c r="D625" s="2"/>
      <c r="E625" s="6"/>
    </row>
    <row r="626" spans="4:5" ht="13">
      <c r="D626" s="2"/>
      <c r="E626" s="6"/>
    </row>
    <row r="627" spans="4:5" ht="13">
      <c r="D627" s="2"/>
      <c r="E627" s="6"/>
    </row>
    <row r="628" spans="4:5" ht="13">
      <c r="D628" s="2"/>
      <c r="E628" s="6"/>
    </row>
    <row r="629" spans="4:5" ht="13">
      <c r="D629" s="2"/>
      <c r="E629" s="6"/>
    </row>
    <row r="630" spans="4:5" ht="13">
      <c r="D630" s="2"/>
      <c r="E630" s="6"/>
    </row>
    <row r="631" spans="4:5" ht="13">
      <c r="D631" s="2"/>
      <c r="E631" s="6"/>
    </row>
    <row r="632" spans="4:5" ht="13">
      <c r="D632" s="2"/>
      <c r="E632" s="6"/>
    </row>
    <row r="633" spans="4:5" ht="13">
      <c r="D633" s="2"/>
      <c r="E633" s="6"/>
    </row>
    <row r="634" spans="4:5" ht="13">
      <c r="D634" s="2"/>
      <c r="E634" s="6"/>
    </row>
    <row r="635" spans="4:5" ht="13">
      <c r="D635" s="2"/>
      <c r="E635" s="6"/>
    </row>
    <row r="636" spans="4:5" ht="13">
      <c r="D636" s="2"/>
      <c r="E636" s="6"/>
    </row>
    <row r="637" spans="4:5" ht="13">
      <c r="D637" s="2"/>
      <c r="E637" s="6"/>
    </row>
    <row r="638" spans="4:5" ht="13">
      <c r="D638" s="2"/>
      <c r="E638" s="6"/>
    </row>
    <row r="639" spans="4:5" ht="13">
      <c r="D639" s="2"/>
      <c r="E639" s="6"/>
    </row>
    <row r="640" spans="4:5" ht="13">
      <c r="D640" s="2"/>
      <c r="E640" s="6"/>
    </row>
    <row r="641" spans="4:5" ht="13">
      <c r="D641" s="2"/>
      <c r="E641" s="6"/>
    </row>
    <row r="642" spans="4:5" ht="13">
      <c r="D642" s="2"/>
      <c r="E642" s="6"/>
    </row>
    <row r="643" spans="4:5" ht="13">
      <c r="D643" s="2"/>
      <c r="E643" s="6"/>
    </row>
    <row r="644" spans="4:5" ht="13">
      <c r="D644" s="2"/>
      <c r="E644" s="6"/>
    </row>
    <row r="645" spans="4:5" ht="13">
      <c r="D645" s="2"/>
      <c r="E645" s="6"/>
    </row>
    <row r="646" spans="4:5" ht="13">
      <c r="D646" s="2"/>
      <c r="E646" s="6"/>
    </row>
    <row r="647" spans="4:5" ht="13">
      <c r="D647" s="2"/>
      <c r="E647" s="6"/>
    </row>
    <row r="648" spans="4:5" ht="13">
      <c r="D648" s="2"/>
      <c r="E648" s="6"/>
    </row>
    <row r="649" spans="4:5" ht="13">
      <c r="D649" s="2"/>
      <c r="E649" s="6"/>
    </row>
    <row r="650" spans="4:5" ht="13">
      <c r="D650" s="2"/>
      <c r="E650" s="6"/>
    </row>
    <row r="651" spans="4:5" ht="13">
      <c r="D651" s="2"/>
      <c r="E651" s="6"/>
    </row>
    <row r="652" spans="4:5" ht="13">
      <c r="D652" s="2"/>
      <c r="E652" s="6"/>
    </row>
    <row r="653" spans="4:5" ht="13">
      <c r="D653" s="2"/>
      <c r="E653" s="6"/>
    </row>
    <row r="654" spans="4:5" ht="13">
      <c r="D654" s="2"/>
      <c r="E654" s="6"/>
    </row>
    <row r="655" spans="4:5" ht="13">
      <c r="D655" s="2"/>
      <c r="E655" s="6"/>
    </row>
    <row r="656" spans="4:5" ht="13">
      <c r="D656" s="2"/>
      <c r="E656" s="6"/>
    </row>
    <row r="657" spans="4:5" ht="13">
      <c r="D657" s="2"/>
      <c r="E657" s="6"/>
    </row>
    <row r="658" spans="4:5" ht="13">
      <c r="D658" s="2"/>
      <c r="E658" s="6"/>
    </row>
    <row r="659" spans="4:5" ht="13">
      <c r="D659" s="2"/>
      <c r="E659" s="6"/>
    </row>
    <row r="660" spans="4:5" ht="13">
      <c r="D660" s="2"/>
      <c r="E660" s="6"/>
    </row>
    <row r="661" spans="4:5" ht="13">
      <c r="D661" s="2"/>
      <c r="E661" s="6"/>
    </row>
    <row r="662" spans="4:5" ht="13">
      <c r="D662" s="2"/>
      <c r="E662" s="6"/>
    </row>
    <row r="663" spans="4:5" ht="13">
      <c r="D663" s="2"/>
      <c r="E663" s="6"/>
    </row>
    <row r="664" spans="4:5" ht="13">
      <c r="D664" s="2"/>
      <c r="E664" s="6"/>
    </row>
    <row r="665" spans="4:5" ht="13">
      <c r="D665" s="2"/>
      <c r="E665" s="6"/>
    </row>
    <row r="666" spans="4:5" ht="13">
      <c r="D666" s="2"/>
      <c r="E666" s="6"/>
    </row>
    <row r="667" spans="4:5" ht="13">
      <c r="D667" s="2"/>
      <c r="E667" s="6"/>
    </row>
    <row r="668" spans="4:5" ht="13">
      <c r="D668" s="2"/>
      <c r="E668" s="6"/>
    </row>
    <row r="669" spans="4:5" ht="13">
      <c r="D669" s="2"/>
      <c r="E669" s="6"/>
    </row>
    <row r="670" spans="4:5" ht="13">
      <c r="D670" s="2"/>
      <c r="E670" s="6"/>
    </row>
    <row r="671" spans="4:5" ht="13">
      <c r="D671" s="2"/>
      <c r="E671" s="6"/>
    </row>
    <row r="672" spans="4:5" ht="13">
      <c r="D672" s="2"/>
      <c r="E672" s="6"/>
    </row>
    <row r="673" spans="4:5" ht="13">
      <c r="D673" s="2"/>
      <c r="E673" s="6"/>
    </row>
    <row r="674" spans="4:5" ht="13">
      <c r="D674" s="2"/>
      <c r="E674" s="6"/>
    </row>
    <row r="675" spans="4:5" ht="13">
      <c r="D675" s="2"/>
      <c r="E675" s="6"/>
    </row>
    <row r="676" spans="4:5" ht="13">
      <c r="D676" s="2"/>
      <c r="E676" s="6"/>
    </row>
    <row r="677" spans="4:5" ht="13">
      <c r="D677" s="2"/>
      <c r="E677" s="6"/>
    </row>
    <row r="678" spans="4:5" ht="13">
      <c r="D678" s="2"/>
      <c r="E678" s="6"/>
    </row>
    <row r="679" spans="4:5" ht="13">
      <c r="D679" s="2"/>
      <c r="E679" s="6"/>
    </row>
    <row r="680" spans="4:5" ht="13">
      <c r="D680" s="2"/>
      <c r="E680" s="6"/>
    </row>
    <row r="681" spans="4:5" ht="13">
      <c r="D681" s="2"/>
      <c r="E681" s="6"/>
    </row>
    <row r="682" spans="4:5" ht="13">
      <c r="D682" s="2"/>
      <c r="E682" s="6"/>
    </row>
    <row r="683" spans="4:5" ht="13">
      <c r="D683" s="2"/>
      <c r="E683" s="6"/>
    </row>
    <row r="684" spans="4:5" ht="13">
      <c r="D684" s="2"/>
      <c r="E684" s="6"/>
    </row>
    <row r="685" spans="4:5" ht="13">
      <c r="D685" s="2"/>
      <c r="E685" s="6"/>
    </row>
    <row r="686" spans="4:5" ht="13">
      <c r="D686" s="2"/>
      <c r="E686" s="6"/>
    </row>
    <row r="687" spans="4:5" ht="13">
      <c r="D687" s="2"/>
      <c r="E687" s="6"/>
    </row>
    <row r="688" spans="4:5" ht="13">
      <c r="D688" s="2"/>
      <c r="E688" s="6"/>
    </row>
    <row r="689" spans="4:5" ht="13">
      <c r="D689" s="2"/>
      <c r="E689" s="6"/>
    </row>
    <row r="690" spans="4:5" ht="13">
      <c r="D690" s="2"/>
      <c r="E690" s="6"/>
    </row>
    <row r="691" spans="4:5" ht="13">
      <c r="D691" s="2"/>
      <c r="E691" s="6"/>
    </row>
    <row r="692" spans="4:5" ht="13">
      <c r="D692" s="2"/>
      <c r="E692" s="6"/>
    </row>
    <row r="693" spans="4:5" ht="13">
      <c r="D693" s="2"/>
      <c r="E693" s="6"/>
    </row>
    <row r="694" spans="4:5" ht="13">
      <c r="D694" s="2"/>
      <c r="E694" s="6"/>
    </row>
    <row r="695" spans="4:5" ht="13">
      <c r="D695" s="2"/>
      <c r="E695" s="6"/>
    </row>
    <row r="696" spans="4:5" ht="13">
      <c r="D696" s="2"/>
      <c r="E696" s="6"/>
    </row>
    <row r="697" spans="4:5" ht="13">
      <c r="D697" s="2"/>
      <c r="E697" s="6"/>
    </row>
    <row r="698" spans="4:5" ht="13">
      <c r="D698" s="2"/>
      <c r="E698" s="6"/>
    </row>
    <row r="699" spans="4:5" ht="13">
      <c r="D699" s="2"/>
      <c r="E699" s="6"/>
    </row>
    <row r="700" spans="4:5" ht="13">
      <c r="D700" s="2"/>
      <c r="E700" s="6"/>
    </row>
    <row r="701" spans="4:5" ht="13">
      <c r="D701" s="2"/>
      <c r="E701" s="6"/>
    </row>
    <row r="702" spans="4:5" ht="13">
      <c r="D702" s="2"/>
      <c r="E702" s="6"/>
    </row>
    <row r="703" spans="4:5" ht="13">
      <c r="D703" s="2"/>
      <c r="E703" s="6"/>
    </row>
    <row r="704" spans="4:5" ht="13">
      <c r="D704" s="2"/>
      <c r="E704" s="6"/>
    </row>
    <row r="705" spans="4:5" ht="13">
      <c r="D705" s="2"/>
      <c r="E705" s="6"/>
    </row>
    <row r="706" spans="4:5" ht="13">
      <c r="D706" s="2"/>
      <c r="E706" s="6"/>
    </row>
    <row r="707" spans="4:5" ht="13">
      <c r="D707" s="2"/>
      <c r="E707" s="6"/>
    </row>
    <row r="708" spans="4:5" ht="13">
      <c r="D708" s="2"/>
      <c r="E708" s="6"/>
    </row>
    <row r="709" spans="4:5" ht="13">
      <c r="D709" s="2"/>
      <c r="E709" s="6"/>
    </row>
    <row r="710" spans="4:5" ht="13">
      <c r="D710" s="2"/>
      <c r="E710" s="6"/>
    </row>
    <row r="711" spans="4:5" ht="13">
      <c r="D711" s="2"/>
      <c r="E711" s="6"/>
    </row>
    <row r="712" spans="4:5" ht="13">
      <c r="D712" s="2"/>
      <c r="E712" s="6"/>
    </row>
    <row r="713" spans="4:5" ht="13">
      <c r="D713" s="2"/>
      <c r="E713" s="6"/>
    </row>
    <row r="714" spans="4:5" ht="13">
      <c r="D714" s="2"/>
      <c r="E714" s="6"/>
    </row>
    <row r="715" spans="4:5" ht="13">
      <c r="D715" s="2"/>
      <c r="E715" s="6"/>
    </row>
    <row r="716" spans="4:5" ht="13">
      <c r="D716" s="2"/>
      <c r="E716" s="6"/>
    </row>
    <row r="717" spans="4:5" ht="13">
      <c r="D717" s="2"/>
      <c r="E717" s="6"/>
    </row>
    <row r="718" spans="4:5" ht="13">
      <c r="D718" s="2"/>
      <c r="E718" s="6"/>
    </row>
    <row r="719" spans="4:5" ht="13">
      <c r="D719" s="2"/>
      <c r="E719" s="6"/>
    </row>
    <row r="720" spans="4:5" ht="13">
      <c r="D720" s="2"/>
      <c r="E720" s="6"/>
    </row>
    <row r="721" spans="4:5" ht="13">
      <c r="D721" s="2"/>
      <c r="E721" s="6"/>
    </row>
    <row r="722" spans="4:5" ht="13">
      <c r="D722" s="2"/>
      <c r="E722" s="6"/>
    </row>
    <row r="723" spans="4:5" ht="13">
      <c r="D723" s="2"/>
      <c r="E723" s="6"/>
    </row>
    <row r="724" spans="4:5" ht="13">
      <c r="D724" s="2"/>
      <c r="E724" s="6"/>
    </row>
    <row r="725" spans="4:5" ht="13">
      <c r="D725" s="2"/>
      <c r="E725" s="6"/>
    </row>
    <row r="726" spans="4:5" ht="13">
      <c r="D726" s="2"/>
      <c r="E726" s="6"/>
    </row>
    <row r="727" spans="4:5" ht="13">
      <c r="D727" s="2"/>
      <c r="E727" s="6"/>
    </row>
    <row r="728" spans="4:5" ht="13">
      <c r="D728" s="2"/>
      <c r="E728" s="6"/>
    </row>
    <row r="729" spans="4:5" ht="13">
      <c r="D729" s="2"/>
      <c r="E729" s="6"/>
    </row>
    <row r="730" spans="4:5" ht="13">
      <c r="D730" s="2"/>
      <c r="E730" s="6"/>
    </row>
    <row r="731" spans="4:5" ht="13">
      <c r="D731" s="2"/>
      <c r="E731" s="6"/>
    </row>
    <row r="732" spans="4:5" ht="13">
      <c r="D732" s="2"/>
      <c r="E732" s="6"/>
    </row>
    <row r="733" spans="4:5" ht="13">
      <c r="D733" s="2"/>
      <c r="E733" s="6"/>
    </row>
    <row r="734" spans="4:5" ht="13">
      <c r="D734" s="2"/>
      <c r="E734" s="6"/>
    </row>
    <row r="735" spans="4:5" ht="13">
      <c r="D735" s="2"/>
      <c r="E735" s="6"/>
    </row>
    <row r="736" spans="4:5" ht="13">
      <c r="D736" s="2"/>
      <c r="E736" s="6"/>
    </row>
    <row r="737" spans="4:5" ht="13">
      <c r="D737" s="2"/>
      <c r="E737" s="6"/>
    </row>
    <row r="738" spans="4:5" ht="13">
      <c r="D738" s="2"/>
      <c r="E738" s="6"/>
    </row>
    <row r="739" spans="4:5" ht="13">
      <c r="D739" s="2"/>
      <c r="E739" s="6"/>
    </row>
    <row r="740" spans="4:5" ht="13">
      <c r="D740" s="2"/>
      <c r="E740" s="6"/>
    </row>
    <row r="741" spans="4:5" ht="13">
      <c r="D741" s="2"/>
      <c r="E741" s="6"/>
    </row>
    <row r="742" spans="4:5" ht="13">
      <c r="D742" s="2"/>
      <c r="E742" s="6"/>
    </row>
    <row r="743" spans="4:5" ht="13">
      <c r="D743" s="2"/>
      <c r="E743" s="6"/>
    </row>
    <row r="744" spans="4:5" ht="13">
      <c r="D744" s="2"/>
      <c r="E744" s="6"/>
    </row>
    <row r="745" spans="4:5" ht="13">
      <c r="D745" s="2"/>
      <c r="E745" s="6"/>
    </row>
    <row r="746" spans="4:5" ht="13">
      <c r="D746" s="2"/>
      <c r="E746" s="6"/>
    </row>
    <row r="747" spans="4:5" ht="13">
      <c r="D747" s="2"/>
      <c r="E747" s="6"/>
    </row>
    <row r="748" spans="4:5" ht="13">
      <c r="D748" s="2"/>
      <c r="E748" s="6"/>
    </row>
    <row r="749" spans="4:5" ht="13">
      <c r="D749" s="2"/>
      <c r="E749" s="6"/>
    </row>
    <row r="750" spans="4:5" ht="13">
      <c r="D750" s="2"/>
      <c r="E750" s="6"/>
    </row>
    <row r="751" spans="4:5" ht="13">
      <c r="D751" s="2"/>
      <c r="E751" s="6"/>
    </row>
    <row r="752" spans="4:5" ht="13">
      <c r="D752" s="2"/>
      <c r="E752" s="6"/>
    </row>
    <row r="753" spans="4:5" ht="13">
      <c r="D753" s="2"/>
      <c r="E753" s="6"/>
    </row>
    <row r="754" spans="4:5" ht="13">
      <c r="D754" s="2"/>
      <c r="E754" s="6"/>
    </row>
    <row r="755" spans="4:5" ht="13">
      <c r="D755" s="2"/>
      <c r="E755" s="6"/>
    </row>
    <row r="756" spans="4:5" ht="13">
      <c r="D756" s="2"/>
      <c r="E756" s="6"/>
    </row>
    <row r="757" spans="4:5" ht="13">
      <c r="D757" s="2"/>
      <c r="E757" s="6"/>
    </row>
    <row r="758" spans="4:5" ht="13">
      <c r="D758" s="2"/>
      <c r="E758" s="6"/>
    </row>
    <row r="759" spans="4:5" ht="13">
      <c r="D759" s="2"/>
      <c r="E759" s="6"/>
    </row>
    <row r="760" spans="4:5" ht="13">
      <c r="D760" s="2"/>
      <c r="E760" s="6"/>
    </row>
    <row r="761" spans="4:5" ht="13">
      <c r="D761" s="2"/>
      <c r="E761" s="6"/>
    </row>
    <row r="762" spans="4:5" ht="13">
      <c r="D762" s="2"/>
      <c r="E762" s="6"/>
    </row>
    <row r="763" spans="4:5" ht="13">
      <c r="D763" s="2"/>
      <c r="E763" s="6"/>
    </row>
    <row r="764" spans="4:5" ht="13">
      <c r="D764" s="2"/>
      <c r="E764" s="6"/>
    </row>
    <row r="765" spans="4:5" ht="13">
      <c r="D765" s="2"/>
      <c r="E765" s="6"/>
    </row>
    <row r="766" spans="4:5" ht="13">
      <c r="D766" s="2"/>
      <c r="E766" s="6"/>
    </row>
    <row r="767" spans="4:5" ht="13">
      <c r="D767" s="2"/>
      <c r="E767" s="6"/>
    </row>
    <row r="768" spans="4:5" ht="13">
      <c r="D768" s="2"/>
      <c r="E768" s="6"/>
    </row>
    <row r="769" spans="4:5" ht="13">
      <c r="D769" s="2"/>
      <c r="E769" s="6"/>
    </row>
    <row r="770" spans="4:5" ht="13">
      <c r="D770" s="2"/>
      <c r="E770" s="6"/>
    </row>
    <row r="771" spans="4:5" ht="13">
      <c r="D771" s="2"/>
      <c r="E771" s="6"/>
    </row>
    <row r="772" spans="4:5" ht="13">
      <c r="D772" s="2"/>
      <c r="E772" s="6"/>
    </row>
    <row r="773" spans="4:5" ht="13">
      <c r="D773" s="2"/>
      <c r="E773" s="6"/>
    </row>
    <row r="774" spans="4:5" ht="13">
      <c r="D774" s="2"/>
      <c r="E774" s="6"/>
    </row>
    <row r="775" spans="4:5" ht="13">
      <c r="D775" s="2"/>
      <c r="E775" s="6"/>
    </row>
    <row r="776" spans="4:5" ht="13">
      <c r="D776" s="2"/>
      <c r="E776" s="6"/>
    </row>
    <row r="777" spans="4:5" ht="13">
      <c r="D777" s="2"/>
      <c r="E777" s="6"/>
    </row>
    <row r="778" spans="4:5" ht="13">
      <c r="D778" s="2"/>
      <c r="E778" s="6"/>
    </row>
    <row r="779" spans="4:5" ht="13">
      <c r="D779" s="2"/>
      <c r="E779" s="6"/>
    </row>
    <row r="780" spans="4:5" ht="13">
      <c r="D780" s="2"/>
      <c r="E780" s="6"/>
    </row>
    <row r="781" spans="4:5" ht="13">
      <c r="D781" s="2"/>
      <c r="E781" s="6"/>
    </row>
    <row r="782" spans="4:5" ht="13">
      <c r="D782" s="2"/>
      <c r="E782" s="6"/>
    </row>
    <row r="783" spans="4:5" ht="13">
      <c r="D783" s="2"/>
      <c r="E783" s="6"/>
    </row>
    <row r="784" spans="4:5" ht="13">
      <c r="D784" s="2"/>
      <c r="E784" s="6"/>
    </row>
    <row r="785" spans="4:5" ht="13">
      <c r="D785" s="2"/>
      <c r="E785" s="6"/>
    </row>
    <row r="786" spans="4:5" ht="13">
      <c r="D786" s="2"/>
      <c r="E786" s="6"/>
    </row>
    <row r="787" spans="4:5" ht="13">
      <c r="D787" s="2"/>
      <c r="E787" s="6"/>
    </row>
    <row r="788" spans="4:5" ht="13">
      <c r="D788" s="2"/>
      <c r="E788" s="6"/>
    </row>
    <row r="789" spans="4:5" ht="13">
      <c r="D789" s="2"/>
      <c r="E789" s="6"/>
    </row>
    <row r="790" spans="4:5" ht="13">
      <c r="D790" s="2"/>
      <c r="E790" s="6"/>
    </row>
    <row r="791" spans="4:5" ht="13">
      <c r="D791" s="2"/>
      <c r="E791" s="6"/>
    </row>
    <row r="792" spans="4:5" ht="13">
      <c r="D792" s="2"/>
      <c r="E792" s="6"/>
    </row>
    <row r="793" spans="4:5" ht="13">
      <c r="D793" s="2"/>
      <c r="E793" s="6"/>
    </row>
    <row r="794" spans="4:5" ht="13">
      <c r="D794" s="2"/>
      <c r="E794" s="6"/>
    </row>
    <row r="795" spans="4:5" ht="13">
      <c r="D795" s="2"/>
      <c r="E795" s="6"/>
    </row>
    <row r="796" spans="4:5" ht="13">
      <c r="D796" s="2"/>
      <c r="E796" s="6"/>
    </row>
    <row r="797" spans="4:5" ht="13">
      <c r="D797" s="2"/>
      <c r="E797" s="6"/>
    </row>
    <row r="798" spans="4:5" ht="13">
      <c r="D798" s="2"/>
      <c r="E798" s="6"/>
    </row>
    <row r="799" spans="4:5" ht="13">
      <c r="D799" s="2"/>
      <c r="E799" s="6"/>
    </row>
    <row r="800" spans="4:5" ht="13">
      <c r="D800" s="2"/>
      <c r="E800" s="6"/>
    </row>
    <row r="801" spans="4:5" ht="13">
      <c r="D801" s="2"/>
      <c r="E801" s="6"/>
    </row>
    <row r="802" spans="4:5" ht="13">
      <c r="D802" s="2"/>
      <c r="E802" s="6"/>
    </row>
    <row r="803" spans="4:5" ht="13">
      <c r="D803" s="2"/>
      <c r="E803" s="6"/>
    </row>
    <row r="804" spans="4:5" ht="13">
      <c r="D804" s="2"/>
      <c r="E804" s="6"/>
    </row>
    <row r="805" spans="4:5" ht="13">
      <c r="D805" s="2"/>
      <c r="E805" s="6"/>
    </row>
    <row r="806" spans="4:5" ht="13">
      <c r="D806" s="2"/>
      <c r="E806" s="6"/>
    </row>
    <row r="807" spans="4:5" ht="13">
      <c r="D807" s="2"/>
      <c r="E807" s="6"/>
    </row>
    <row r="808" spans="4:5" ht="13">
      <c r="D808" s="2"/>
      <c r="E808" s="6"/>
    </row>
    <row r="809" spans="4:5" ht="13">
      <c r="D809" s="2"/>
      <c r="E809" s="6"/>
    </row>
    <row r="810" spans="4:5" ht="13">
      <c r="D810" s="2"/>
      <c r="E810" s="6"/>
    </row>
    <row r="811" spans="4:5" ht="13">
      <c r="D811" s="2"/>
      <c r="E811" s="6"/>
    </row>
    <row r="812" spans="4:5" ht="13">
      <c r="D812" s="2"/>
      <c r="E812" s="6"/>
    </row>
    <row r="813" spans="4:5" ht="13">
      <c r="D813" s="2"/>
      <c r="E813" s="6"/>
    </row>
    <row r="814" spans="4:5" ht="13">
      <c r="D814" s="2"/>
      <c r="E814" s="6"/>
    </row>
    <row r="815" spans="4:5" ht="13">
      <c r="D815" s="2"/>
      <c r="E815" s="6"/>
    </row>
    <row r="816" spans="4:5" ht="13">
      <c r="D816" s="2"/>
      <c r="E816" s="6"/>
    </row>
    <row r="817" spans="4:5" ht="13">
      <c r="D817" s="2"/>
      <c r="E817" s="6"/>
    </row>
    <row r="818" spans="4:5" ht="13">
      <c r="D818" s="2"/>
      <c r="E818" s="6"/>
    </row>
    <row r="819" spans="4:5" ht="13">
      <c r="D819" s="2"/>
      <c r="E819" s="6"/>
    </row>
    <row r="820" spans="4:5" ht="13">
      <c r="D820" s="2"/>
      <c r="E820" s="6"/>
    </row>
    <row r="821" spans="4:5" ht="13">
      <c r="D821" s="2"/>
      <c r="E821" s="6"/>
    </row>
    <row r="822" spans="4:5" ht="13">
      <c r="D822" s="2"/>
      <c r="E822" s="6"/>
    </row>
    <row r="823" spans="4:5" ht="13">
      <c r="D823" s="2"/>
      <c r="E823" s="6"/>
    </row>
    <row r="824" spans="4:5" ht="13">
      <c r="D824" s="2"/>
      <c r="E824" s="6"/>
    </row>
    <row r="825" spans="4:5" ht="13">
      <c r="D825" s="2"/>
      <c r="E825" s="6"/>
    </row>
    <row r="826" spans="4:5" ht="13">
      <c r="D826" s="2"/>
      <c r="E826" s="6"/>
    </row>
    <row r="827" spans="4:5" ht="13">
      <c r="D827" s="2"/>
      <c r="E827" s="6"/>
    </row>
    <row r="828" spans="4:5" ht="13">
      <c r="D828" s="2"/>
      <c r="E828" s="6"/>
    </row>
    <row r="829" spans="4:5" ht="13">
      <c r="D829" s="2"/>
      <c r="E829" s="6"/>
    </row>
    <row r="830" spans="4:5" ht="13">
      <c r="D830" s="2"/>
      <c r="E830" s="6"/>
    </row>
    <row r="831" spans="4:5" ht="13">
      <c r="D831" s="2"/>
      <c r="E831" s="6"/>
    </row>
    <row r="832" spans="4:5" ht="13">
      <c r="D832" s="2"/>
      <c r="E832" s="6"/>
    </row>
    <row r="833" spans="4:5" ht="13">
      <c r="D833" s="2"/>
      <c r="E833" s="6"/>
    </row>
    <row r="834" spans="4:5" ht="13">
      <c r="D834" s="2"/>
      <c r="E834" s="6"/>
    </row>
    <row r="835" spans="4:5" ht="13">
      <c r="D835" s="2"/>
      <c r="E835" s="6"/>
    </row>
    <row r="836" spans="4:5" ht="13">
      <c r="D836" s="2"/>
      <c r="E836" s="6"/>
    </row>
    <row r="837" spans="4:5" ht="13">
      <c r="D837" s="2"/>
      <c r="E837" s="6"/>
    </row>
    <row r="838" spans="4:5" ht="13">
      <c r="D838" s="2"/>
      <c r="E838" s="6"/>
    </row>
    <row r="839" spans="4:5" ht="13">
      <c r="D839" s="2"/>
      <c r="E839" s="6"/>
    </row>
    <row r="840" spans="4:5" ht="13">
      <c r="D840" s="2"/>
      <c r="E840" s="6"/>
    </row>
    <row r="841" spans="4:5" ht="13">
      <c r="D841" s="2"/>
      <c r="E841" s="6"/>
    </row>
    <row r="842" spans="4:5" ht="13">
      <c r="D842" s="2"/>
      <c r="E842" s="6"/>
    </row>
    <row r="843" spans="4:5" ht="13">
      <c r="D843" s="2"/>
      <c r="E843" s="6"/>
    </row>
    <row r="844" spans="4:5" ht="13">
      <c r="D844" s="2"/>
      <c r="E844" s="6"/>
    </row>
    <row r="845" spans="4:5" ht="13">
      <c r="D845" s="2"/>
      <c r="E845" s="6"/>
    </row>
    <row r="846" spans="4:5" ht="13">
      <c r="D846" s="2"/>
      <c r="E846" s="6"/>
    </row>
    <row r="847" spans="4:5" ht="13">
      <c r="D847" s="2"/>
      <c r="E847" s="6"/>
    </row>
    <row r="848" spans="4:5" ht="13">
      <c r="D848" s="2"/>
      <c r="E848" s="6"/>
    </row>
    <row r="849" spans="4:5" ht="13">
      <c r="D849" s="2"/>
      <c r="E849" s="6"/>
    </row>
    <row r="850" spans="4:5" ht="13">
      <c r="D850" s="2"/>
      <c r="E850" s="6"/>
    </row>
    <row r="851" spans="4:5" ht="13">
      <c r="D851" s="2"/>
      <c r="E851" s="6"/>
    </row>
    <row r="852" spans="4:5" ht="13">
      <c r="D852" s="2"/>
      <c r="E852" s="6"/>
    </row>
    <row r="853" spans="4:5" ht="13">
      <c r="D853" s="2"/>
      <c r="E853" s="6"/>
    </row>
    <row r="854" spans="4:5" ht="13">
      <c r="D854" s="2"/>
      <c r="E854" s="6"/>
    </row>
    <row r="855" spans="4:5" ht="13">
      <c r="D855" s="2"/>
      <c r="E855" s="6"/>
    </row>
    <row r="856" spans="4:5" ht="13">
      <c r="D856" s="2"/>
      <c r="E856" s="6"/>
    </row>
    <row r="857" spans="4:5" ht="13">
      <c r="D857" s="2"/>
      <c r="E857" s="6"/>
    </row>
    <row r="858" spans="4:5" ht="13">
      <c r="D858" s="2"/>
      <c r="E858" s="6"/>
    </row>
    <row r="859" spans="4:5" ht="13">
      <c r="D859" s="2"/>
      <c r="E859" s="6"/>
    </row>
    <row r="860" spans="4:5" ht="13">
      <c r="D860" s="2"/>
      <c r="E860" s="6"/>
    </row>
    <row r="861" spans="4:5" ht="13">
      <c r="D861" s="2"/>
      <c r="E861" s="6"/>
    </row>
    <row r="862" spans="4:5" ht="13">
      <c r="D862" s="2"/>
      <c r="E862" s="6"/>
    </row>
    <row r="863" spans="4:5" ht="13">
      <c r="D863" s="2"/>
      <c r="E863" s="6"/>
    </row>
    <row r="864" spans="4:5" ht="13">
      <c r="D864" s="2"/>
      <c r="E864" s="6"/>
    </row>
    <row r="865" spans="4:5" ht="13">
      <c r="D865" s="2"/>
      <c r="E865" s="6"/>
    </row>
    <row r="866" spans="4:5" ht="13">
      <c r="D866" s="2"/>
      <c r="E866" s="6"/>
    </row>
    <row r="867" spans="4:5" ht="13">
      <c r="D867" s="2"/>
      <c r="E867" s="6"/>
    </row>
    <row r="868" spans="4:5" ht="13">
      <c r="D868" s="2"/>
      <c r="E868" s="6"/>
    </row>
    <row r="869" spans="4:5" ht="13">
      <c r="D869" s="2"/>
      <c r="E869" s="6"/>
    </row>
    <row r="870" spans="4:5" ht="13">
      <c r="D870" s="2"/>
      <c r="E870" s="6"/>
    </row>
    <row r="871" spans="4:5" ht="13">
      <c r="D871" s="2"/>
      <c r="E871" s="6"/>
    </row>
    <row r="872" spans="4:5" ht="13">
      <c r="D872" s="2"/>
      <c r="E872" s="6"/>
    </row>
    <row r="873" spans="4:5" ht="13">
      <c r="D873" s="2"/>
      <c r="E873" s="6"/>
    </row>
    <row r="874" spans="4:5" ht="13">
      <c r="D874" s="2"/>
      <c r="E874" s="6"/>
    </row>
    <row r="875" spans="4:5" ht="13">
      <c r="D875" s="2"/>
      <c r="E875" s="6"/>
    </row>
    <row r="876" spans="4:5" ht="13">
      <c r="D876" s="2"/>
      <c r="E876" s="6"/>
    </row>
    <row r="877" spans="4:5" ht="13">
      <c r="D877" s="2"/>
      <c r="E877" s="6"/>
    </row>
    <row r="878" spans="4:5" ht="13">
      <c r="D878" s="2"/>
      <c r="E878" s="6"/>
    </row>
    <row r="879" spans="4:5" ht="13">
      <c r="D879" s="2"/>
      <c r="E879" s="6"/>
    </row>
    <row r="880" spans="4:5" ht="13">
      <c r="D880" s="2"/>
      <c r="E880" s="6"/>
    </row>
    <row r="881" spans="4:5" ht="13">
      <c r="D881" s="2"/>
      <c r="E881" s="6"/>
    </row>
    <row r="882" spans="4:5" ht="13">
      <c r="D882" s="2"/>
      <c r="E882" s="6"/>
    </row>
    <row r="883" spans="4:5" ht="13">
      <c r="D883" s="2"/>
      <c r="E883" s="6"/>
    </row>
    <row r="884" spans="4:5" ht="13">
      <c r="D884" s="2"/>
      <c r="E884" s="6"/>
    </row>
    <row r="885" spans="4:5" ht="13">
      <c r="D885" s="2"/>
      <c r="E885" s="6"/>
    </row>
    <row r="886" spans="4:5" ht="13">
      <c r="D886" s="2"/>
      <c r="E886" s="6"/>
    </row>
    <row r="887" spans="4:5" ht="13">
      <c r="D887" s="2"/>
      <c r="E887" s="6"/>
    </row>
    <row r="888" spans="4:5" ht="13">
      <c r="D888" s="2"/>
      <c r="E888" s="6"/>
    </row>
    <row r="889" spans="4:5" ht="13">
      <c r="D889" s="2"/>
      <c r="E889" s="6"/>
    </row>
    <row r="890" spans="4:5" ht="13">
      <c r="D890" s="2"/>
      <c r="E890" s="6"/>
    </row>
    <row r="891" spans="4:5" ht="13">
      <c r="D891" s="2"/>
      <c r="E891" s="6"/>
    </row>
    <row r="892" spans="4:5" ht="13">
      <c r="D892" s="2"/>
      <c r="E892" s="6"/>
    </row>
    <row r="893" spans="4:5" ht="13">
      <c r="D893" s="2"/>
      <c r="E893" s="6"/>
    </row>
    <row r="894" spans="4:5" ht="13">
      <c r="D894" s="2"/>
      <c r="E894" s="6"/>
    </row>
    <row r="895" spans="4:5" ht="13">
      <c r="D895" s="2"/>
      <c r="E895" s="6"/>
    </row>
    <row r="896" spans="4:5" ht="13">
      <c r="D896" s="2"/>
      <c r="E896" s="6"/>
    </row>
    <row r="897" spans="4:5" ht="13">
      <c r="D897" s="2"/>
      <c r="E897" s="6"/>
    </row>
    <row r="898" spans="4:5" ht="13">
      <c r="D898" s="2"/>
      <c r="E898" s="6"/>
    </row>
    <row r="899" spans="4:5" ht="13">
      <c r="D899" s="2"/>
      <c r="E899" s="6"/>
    </row>
    <row r="900" spans="4:5" ht="13">
      <c r="D900" s="2"/>
      <c r="E900" s="6"/>
    </row>
    <row r="901" spans="4:5" ht="13">
      <c r="D901" s="2"/>
      <c r="E901" s="6"/>
    </row>
    <row r="902" spans="4:5" ht="13">
      <c r="D902" s="2"/>
      <c r="E902" s="6"/>
    </row>
    <row r="903" spans="4:5" ht="13">
      <c r="D903" s="2"/>
      <c r="E903" s="6"/>
    </row>
    <row r="904" spans="4:5" ht="13">
      <c r="D904" s="2"/>
      <c r="E904" s="6"/>
    </row>
    <row r="905" spans="4:5" ht="13">
      <c r="D905" s="2"/>
      <c r="E905" s="6"/>
    </row>
    <row r="906" spans="4:5" ht="13">
      <c r="D906" s="2"/>
      <c r="E906" s="6"/>
    </row>
    <row r="907" spans="4:5" ht="13">
      <c r="D907" s="2"/>
      <c r="E907" s="6"/>
    </row>
    <row r="908" spans="4:5" ht="13">
      <c r="D908" s="2"/>
      <c r="E908" s="6"/>
    </row>
    <row r="909" spans="4:5" ht="13">
      <c r="D909" s="2"/>
      <c r="E909" s="6"/>
    </row>
    <row r="910" spans="4:5" ht="13">
      <c r="D910" s="2"/>
      <c r="E910" s="6"/>
    </row>
    <row r="911" spans="4:5" ht="13">
      <c r="D911" s="2"/>
      <c r="E911" s="6"/>
    </row>
    <row r="912" spans="4:5" ht="13">
      <c r="D912" s="2"/>
      <c r="E912" s="6"/>
    </row>
    <row r="913" spans="4:5" ht="13">
      <c r="D913" s="2"/>
      <c r="E913" s="6"/>
    </row>
    <row r="914" spans="4:5" ht="13">
      <c r="D914" s="2"/>
      <c r="E914" s="6"/>
    </row>
    <row r="915" spans="4:5" ht="13">
      <c r="D915" s="2"/>
      <c r="E915" s="6"/>
    </row>
    <row r="916" spans="4:5" ht="13">
      <c r="D916" s="2"/>
      <c r="E916" s="6"/>
    </row>
    <row r="917" spans="4:5" ht="13">
      <c r="D917" s="2"/>
      <c r="E917" s="6"/>
    </row>
    <row r="918" spans="4:5" ht="13">
      <c r="D918" s="2"/>
      <c r="E918" s="6"/>
    </row>
    <row r="919" spans="4:5" ht="13">
      <c r="D919" s="2"/>
      <c r="E919" s="6"/>
    </row>
    <row r="920" spans="4:5" ht="13">
      <c r="D920" s="2"/>
      <c r="E920" s="6"/>
    </row>
    <row r="921" spans="4:5" ht="13">
      <c r="D921" s="2"/>
      <c r="E921" s="6"/>
    </row>
    <row r="922" spans="4:5" ht="13">
      <c r="D922" s="2"/>
      <c r="E922" s="6"/>
    </row>
    <row r="923" spans="4:5" ht="13">
      <c r="D923" s="2"/>
      <c r="E923" s="6"/>
    </row>
    <row r="924" spans="4:5" ht="13">
      <c r="D924" s="2"/>
      <c r="E924" s="6"/>
    </row>
    <row r="925" spans="4:5" ht="13">
      <c r="D925" s="2"/>
      <c r="E925" s="6"/>
    </row>
    <row r="926" spans="4:5" ht="13">
      <c r="D926" s="2"/>
      <c r="E926" s="6"/>
    </row>
    <row r="927" spans="4:5" ht="13">
      <c r="D927" s="2"/>
      <c r="E927" s="6"/>
    </row>
    <row r="928" spans="4:5" ht="13">
      <c r="D928" s="2"/>
      <c r="E928" s="6"/>
    </row>
    <row r="929" spans="4:5" ht="13">
      <c r="D929" s="2"/>
      <c r="E929" s="6"/>
    </row>
    <row r="930" spans="4:5" ht="13">
      <c r="D930" s="2"/>
      <c r="E930" s="6"/>
    </row>
    <row r="931" spans="4:5" ht="13">
      <c r="D931" s="2"/>
      <c r="E931" s="6"/>
    </row>
    <row r="932" spans="4:5" ht="13">
      <c r="D932" s="2"/>
      <c r="E932" s="6"/>
    </row>
    <row r="933" spans="4:5" ht="13">
      <c r="D933" s="2"/>
      <c r="E933" s="6"/>
    </row>
    <row r="934" spans="4:5" ht="13">
      <c r="D934" s="2"/>
      <c r="E934" s="6"/>
    </row>
    <row r="935" spans="4:5" ht="13">
      <c r="D935" s="2"/>
      <c r="E935" s="6"/>
    </row>
    <row r="936" spans="4:5" ht="13">
      <c r="D936" s="2"/>
      <c r="E936" s="6"/>
    </row>
    <row r="937" spans="4:5" ht="13">
      <c r="D937" s="2"/>
      <c r="E937" s="6"/>
    </row>
    <row r="938" spans="4:5" ht="13">
      <c r="D938" s="2"/>
      <c r="E938" s="6"/>
    </row>
    <row r="939" spans="4:5" ht="13">
      <c r="D939" s="2"/>
      <c r="E939" s="6"/>
    </row>
    <row r="940" spans="4:5" ht="13">
      <c r="D940" s="2"/>
      <c r="E940" s="6"/>
    </row>
    <row r="941" spans="4:5" ht="13">
      <c r="D941" s="2"/>
      <c r="E941" s="6"/>
    </row>
    <row r="942" spans="4:5" ht="13">
      <c r="D942" s="2"/>
      <c r="E942" s="6"/>
    </row>
    <row r="943" spans="4:5" ht="13">
      <c r="D943" s="2"/>
      <c r="E943" s="6"/>
    </row>
    <row r="944" spans="4:5" ht="13">
      <c r="D944" s="2"/>
      <c r="E944" s="6"/>
    </row>
    <row r="945" spans="4:5" ht="13">
      <c r="D945" s="2"/>
      <c r="E945" s="6"/>
    </row>
    <row r="946" spans="4:5" ht="13">
      <c r="D946" s="2"/>
      <c r="E946" s="6"/>
    </row>
    <row r="947" spans="4:5" ht="13">
      <c r="D947" s="2"/>
      <c r="E947" s="6"/>
    </row>
    <row r="948" spans="4:5" ht="13">
      <c r="D948" s="2"/>
      <c r="E948" s="6"/>
    </row>
    <row r="949" spans="4:5" ht="13">
      <c r="D949" s="2"/>
      <c r="E949" s="6"/>
    </row>
    <row r="950" spans="4:5" ht="13">
      <c r="D950" s="2"/>
      <c r="E950" s="6"/>
    </row>
    <row r="951" spans="4:5" ht="13">
      <c r="D951" s="2"/>
      <c r="E951" s="6"/>
    </row>
    <row r="952" spans="4:5" ht="13">
      <c r="D952" s="2"/>
      <c r="E952" s="6"/>
    </row>
    <row r="953" spans="4:5" ht="13">
      <c r="D953" s="2"/>
      <c r="E953" s="6"/>
    </row>
    <row r="954" spans="4:5" ht="13">
      <c r="D954" s="2"/>
      <c r="E954" s="6"/>
    </row>
    <row r="955" spans="4:5" ht="13">
      <c r="D955" s="2"/>
      <c r="E955" s="6"/>
    </row>
    <row r="956" spans="4:5" ht="13">
      <c r="D956" s="2"/>
      <c r="E956" s="6"/>
    </row>
    <row r="957" spans="4:5" ht="13">
      <c r="D957" s="2"/>
      <c r="E957" s="6"/>
    </row>
    <row r="958" spans="4:5" ht="13">
      <c r="D958" s="2"/>
      <c r="E958" s="6"/>
    </row>
    <row r="959" spans="4:5" ht="13">
      <c r="D959" s="2"/>
      <c r="E959" s="6"/>
    </row>
    <row r="960" spans="4:5" ht="13">
      <c r="D960" s="2"/>
      <c r="E960" s="6"/>
    </row>
    <row r="961" spans="4:5" ht="13">
      <c r="D961" s="2"/>
      <c r="E961" s="6"/>
    </row>
    <row r="962" spans="4:5" ht="13">
      <c r="D962" s="2"/>
      <c r="E962" s="6"/>
    </row>
    <row r="963" spans="4:5" ht="13">
      <c r="D963" s="2"/>
      <c r="E963" s="6"/>
    </row>
    <row r="964" spans="4:5" ht="13">
      <c r="D964" s="2"/>
      <c r="E964" s="6"/>
    </row>
    <row r="965" spans="4:5" ht="13">
      <c r="D965" s="2"/>
      <c r="E965" s="6"/>
    </row>
    <row r="966" spans="4:5" ht="13">
      <c r="D966" s="2"/>
      <c r="E966" s="6"/>
    </row>
    <row r="967" spans="4:5" ht="13">
      <c r="D967" s="2"/>
      <c r="E967" s="6"/>
    </row>
    <row r="968" spans="4:5" ht="13">
      <c r="D968" s="2"/>
      <c r="E968" s="6"/>
    </row>
    <row r="969" spans="4:5" ht="13">
      <c r="D969" s="2"/>
      <c r="E969" s="6"/>
    </row>
    <row r="970" spans="4:5" ht="13">
      <c r="D970" s="2"/>
      <c r="E970" s="6"/>
    </row>
    <row r="971" spans="4:5" ht="13">
      <c r="D971" s="2"/>
      <c r="E971" s="6"/>
    </row>
    <row r="972" spans="4:5" ht="13">
      <c r="D972" s="2"/>
      <c r="E972" s="6"/>
    </row>
    <row r="973" spans="4:5" ht="13">
      <c r="D973" s="2"/>
      <c r="E973" s="6"/>
    </row>
    <row r="974" spans="4:5" ht="13">
      <c r="D974" s="2"/>
      <c r="E974" s="6"/>
    </row>
    <row r="975" spans="4:5" ht="13">
      <c r="D975" s="2"/>
      <c r="E975" s="6"/>
    </row>
    <row r="976" spans="4:5" ht="13">
      <c r="D976" s="2"/>
      <c r="E976" s="6"/>
    </row>
    <row r="977" spans="4:5" ht="13">
      <c r="D977" s="2"/>
      <c r="E977" s="6"/>
    </row>
    <row r="978" spans="4:5" ht="13">
      <c r="D978" s="2"/>
      <c r="E978" s="6"/>
    </row>
    <row r="979" spans="4:5" ht="13">
      <c r="D979" s="2"/>
      <c r="E979" s="6"/>
    </row>
    <row r="980" spans="4:5" ht="13">
      <c r="D980" s="2"/>
      <c r="E980" s="6"/>
    </row>
    <row r="981" spans="4:5" ht="13">
      <c r="D981" s="2"/>
      <c r="E981" s="6"/>
    </row>
    <row r="982" spans="4:5" ht="13">
      <c r="D982" s="2"/>
      <c r="E982" s="6"/>
    </row>
    <row r="983" spans="4:5" ht="13">
      <c r="D983" s="2"/>
      <c r="E983" s="6"/>
    </row>
    <row r="984" spans="4:5" ht="13">
      <c r="D984" s="2"/>
      <c r="E984" s="6"/>
    </row>
    <row r="985" spans="4:5" ht="13">
      <c r="D985" s="2"/>
      <c r="E985" s="6"/>
    </row>
    <row r="986" spans="4:5" ht="13">
      <c r="D986" s="2"/>
      <c r="E986" s="6"/>
    </row>
    <row r="987" spans="4:5" ht="13">
      <c r="D987" s="2"/>
      <c r="E987" s="6"/>
    </row>
    <row r="988" spans="4:5" ht="13">
      <c r="D988" s="2"/>
      <c r="E988" s="6"/>
    </row>
    <row r="989" spans="4:5" ht="13">
      <c r="D989" s="2"/>
      <c r="E989" s="6"/>
    </row>
    <row r="990" spans="4:5" ht="13">
      <c r="D990" s="2"/>
      <c r="E990" s="6"/>
    </row>
    <row r="991" spans="4:5" ht="13">
      <c r="D991" s="2"/>
      <c r="E991" s="6"/>
    </row>
    <row r="992" spans="4:5" ht="13">
      <c r="D992" s="2"/>
      <c r="E992" s="6"/>
    </row>
    <row r="993" spans="4:5" ht="13">
      <c r="D993" s="2"/>
      <c r="E993" s="6"/>
    </row>
    <row r="994" spans="4:5" ht="13">
      <c r="D994" s="2"/>
      <c r="E994" s="6"/>
    </row>
    <row r="995" spans="4:5" ht="13">
      <c r="D995" s="2"/>
      <c r="E995" s="6"/>
    </row>
    <row r="996" spans="4:5" ht="13">
      <c r="D996" s="2"/>
      <c r="E996" s="6"/>
    </row>
    <row r="997" spans="4:5" ht="13">
      <c r="D997" s="2"/>
      <c r="E997" s="6"/>
    </row>
    <row r="998" spans="4:5" ht="13">
      <c r="D998" s="2"/>
      <c r="E998" s="6"/>
    </row>
    <row r="999" spans="4:5" ht="13">
      <c r="D999" s="2"/>
      <c r="E99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5804-DB3C-BD41-AD42-59D4F953A7C6}">
  <dimension ref="A1:B12"/>
  <sheetViews>
    <sheetView zoomScale="106" workbookViewId="0">
      <selection activeCell="D16" sqref="D16"/>
    </sheetView>
  </sheetViews>
  <sheetFormatPr baseColWidth="10" defaultRowHeight="13"/>
  <sheetData>
    <row r="1" spans="1:2">
      <c r="A1" s="7" t="s">
        <v>28</v>
      </c>
      <c r="B1" s="7" t="s">
        <v>30</v>
      </c>
    </row>
    <row r="2" spans="1:2">
      <c r="A2" s="7" t="s">
        <v>29</v>
      </c>
      <c r="B2" s="7" t="s">
        <v>30</v>
      </c>
    </row>
    <row r="3" spans="1:2">
      <c r="A3" s="7" t="s">
        <v>31</v>
      </c>
      <c r="B3" s="7" t="s">
        <v>32</v>
      </c>
    </row>
    <row r="4" spans="1:2">
      <c r="A4" s="7" t="s">
        <v>33</v>
      </c>
      <c r="B4">
        <v>115.3</v>
      </c>
    </row>
    <row r="5" spans="1:2">
      <c r="A5" s="7" t="s">
        <v>79</v>
      </c>
      <c r="B5" s="7">
        <v>69</v>
      </c>
    </row>
    <row r="6" spans="1:2">
      <c r="A6" s="7" t="s">
        <v>91</v>
      </c>
      <c r="B6" s="7">
        <v>67.5</v>
      </c>
    </row>
    <row r="7" spans="1:2">
      <c r="A7" s="7" t="s">
        <v>89</v>
      </c>
      <c r="B7" s="7">
        <v>72</v>
      </c>
    </row>
    <row r="8" spans="1:2">
      <c r="A8" s="7" t="s">
        <v>84</v>
      </c>
      <c r="B8">
        <f>SQRT(B9/B10)</f>
        <v>9.891338019504337</v>
      </c>
    </row>
    <row r="9" spans="1:2">
      <c r="A9" s="7" t="s">
        <v>93</v>
      </c>
      <c r="B9">
        <v>17023.910800000001</v>
      </c>
    </row>
    <row r="10" spans="1:2">
      <c r="A10" s="7" t="s">
        <v>92</v>
      </c>
      <c r="B10">
        <v>174</v>
      </c>
    </row>
    <row r="11" spans="1:2">
      <c r="A11" s="7" t="s">
        <v>34</v>
      </c>
      <c r="B11">
        <v>118.9</v>
      </c>
    </row>
    <row r="12" spans="1:2">
      <c r="A12" s="7" t="s">
        <v>35</v>
      </c>
      <c r="B12">
        <v>118.3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2B33-C2AA-684A-8397-01E958DAFCD8}">
  <dimension ref="A1:V31"/>
  <sheetViews>
    <sheetView zoomScale="115" workbookViewId="0">
      <pane xSplit="5" topLeftCell="P1" activePane="topRight" state="frozen"/>
      <selection pane="topRight" activeCell="W16" sqref="W16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14</v>
      </c>
      <c r="B2" s="11">
        <v>14</v>
      </c>
      <c r="C2" s="12">
        <v>46025</v>
      </c>
      <c r="D2" s="11" t="s">
        <v>43</v>
      </c>
      <c r="E2" s="11" t="s">
        <v>21</v>
      </c>
      <c r="F2" s="11">
        <v>53</v>
      </c>
      <c r="G2" s="11">
        <v>65</v>
      </c>
      <c r="H2" s="11">
        <v>66</v>
      </c>
      <c r="I2" s="11">
        <v>20</v>
      </c>
      <c r="J2" s="11">
        <v>12</v>
      </c>
      <c r="K2" s="18">
        <v>9</v>
      </c>
      <c r="M2" s="10">
        <v>109.3</v>
      </c>
      <c r="N2" s="26">
        <v>104.7</v>
      </c>
      <c r="O2" s="10">
        <v>72.415624999999991</v>
      </c>
      <c r="P2" s="10">
        <f>(C24*O2)/B28</f>
        <v>72.324659430480068</v>
      </c>
      <c r="Q2" s="10">
        <f>(((M2*B24)/B27)*P2)/100</f>
        <v>66.421830512143202</v>
      </c>
      <c r="R2" s="10">
        <f>(((A24*N2)/B27)*P2)/100</f>
        <v>67.746096275445836</v>
      </c>
      <c r="S2" s="10">
        <f>(Q2-R2)+2.4</f>
        <v>1.0757342366973659</v>
      </c>
      <c r="T2" s="10">
        <f>G2-F2</f>
        <v>12</v>
      </c>
      <c r="U2" s="10">
        <f>S2-1.036*B29</f>
        <v>-9.1716919515091266</v>
      </c>
      <c r="V2" s="10">
        <f>S2+1.036*B29</f>
        <v>11.323160424903859</v>
      </c>
    </row>
    <row r="3" spans="1:22" ht="16">
      <c r="A3" s="17">
        <v>15</v>
      </c>
      <c r="B3" s="11">
        <v>15</v>
      </c>
      <c r="C3" s="12">
        <v>46028</v>
      </c>
      <c r="D3" s="13"/>
      <c r="E3" s="11" t="s">
        <v>10</v>
      </c>
      <c r="F3" s="11">
        <v>71</v>
      </c>
      <c r="G3" s="11">
        <v>79</v>
      </c>
      <c r="H3" s="11">
        <v>45</v>
      </c>
      <c r="I3" s="11">
        <v>22</v>
      </c>
      <c r="J3" s="11">
        <v>8</v>
      </c>
      <c r="K3" s="18">
        <v>14</v>
      </c>
      <c r="M3" s="10">
        <v>125.2</v>
      </c>
      <c r="N3" s="10">
        <v>100.9</v>
      </c>
      <c r="O3" s="10">
        <v>71.373625000000004</v>
      </c>
      <c r="P3" s="10">
        <f>(C24*O3)/B28</f>
        <v>71.283968348596019</v>
      </c>
      <c r="Q3" s="10">
        <f>(((N3*A24)/B27)*P3)/100</f>
        <v>64.347878177916911</v>
      </c>
      <c r="R3" s="10">
        <f>(((B24*M3)/B27)*P3)/100</f>
        <v>74.989503546102128</v>
      </c>
      <c r="S3" s="10">
        <f>(Q3-R3)+2.5</f>
        <v>-8.1416253681852169</v>
      </c>
      <c r="T3" s="10">
        <f>F3-G3</f>
        <v>-8</v>
      </c>
      <c r="U3" s="10">
        <f>S3-1.036*B29</f>
        <v>-18.38905155639171</v>
      </c>
      <c r="V3" s="10">
        <f>S3+1.036*B29</f>
        <v>2.1058008200212761</v>
      </c>
    </row>
    <row r="4" spans="1:22" ht="14">
      <c r="A4" s="17">
        <v>16</v>
      </c>
      <c r="B4" s="11">
        <v>16</v>
      </c>
      <c r="C4" s="12">
        <v>46032</v>
      </c>
      <c r="D4" s="11" t="s">
        <v>43</v>
      </c>
      <c r="E4" s="11" t="s">
        <v>7</v>
      </c>
      <c r="F4" s="11">
        <v>62</v>
      </c>
      <c r="G4" s="11">
        <v>75</v>
      </c>
      <c r="H4" s="11">
        <v>63</v>
      </c>
      <c r="I4" s="11">
        <v>16</v>
      </c>
      <c r="J4" s="11">
        <v>6</v>
      </c>
      <c r="K4" s="18">
        <v>4</v>
      </c>
      <c r="M4" s="10">
        <v>122.3</v>
      </c>
      <c r="N4" s="10">
        <v>98.9</v>
      </c>
      <c r="O4" s="10">
        <v>71.274299999999997</v>
      </c>
      <c r="P4" s="10">
        <f>(C24*O4)/B28</f>
        <v>71.184768116630437</v>
      </c>
      <c r="Q4" s="10">
        <f>(((M4*B24)/B27)*P4)/100</f>
        <v>73.150586510068877</v>
      </c>
      <c r="R4" s="10">
        <f>(((A24*N4)/B27)*P4)/100</f>
        <v>62.984627073723679</v>
      </c>
      <c r="S4" s="10">
        <f>(Q4-R4)+3.5</f>
        <v>13.665959436345197</v>
      </c>
      <c r="T4" s="10">
        <f>G4-F4</f>
        <v>13</v>
      </c>
      <c r="U4" s="10">
        <f>S4-1.036*B29</f>
        <v>3.4185332481387043</v>
      </c>
      <c r="V4" s="10">
        <f>S4+1.036*B29</f>
        <v>23.91338562455169</v>
      </c>
    </row>
    <row r="5" spans="1:22" ht="14">
      <c r="A5" s="17">
        <v>17</v>
      </c>
      <c r="B5" s="11">
        <v>17</v>
      </c>
      <c r="C5" s="12">
        <v>46035</v>
      </c>
      <c r="D5" s="11" t="s">
        <v>43</v>
      </c>
      <c r="E5" s="11" t="s">
        <v>19</v>
      </c>
      <c r="F5" s="11">
        <v>50</v>
      </c>
      <c r="G5" s="11">
        <v>74</v>
      </c>
      <c r="H5" s="11">
        <v>47</v>
      </c>
      <c r="I5" s="11">
        <v>13</v>
      </c>
      <c r="J5" s="11">
        <v>6</v>
      </c>
      <c r="K5" s="18">
        <v>19</v>
      </c>
      <c r="M5" s="10">
        <v>115.4</v>
      </c>
      <c r="N5" s="10">
        <v>91.8</v>
      </c>
      <c r="O5" s="10">
        <v>65.54495</v>
      </c>
      <c r="P5" s="10">
        <f>(C24*O5)/B28</f>
        <v>65.462615093605081</v>
      </c>
      <c r="Q5" s="10">
        <f>(((M5*B24)/B27)*P5)/100</f>
        <v>63.475106784916854</v>
      </c>
      <c r="R5" s="10">
        <f>(((A24*N5)/B27)*P5)/100</f>
        <v>53.763462141228786</v>
      </c>
      <c r="S5" s="10">
        <f>(Q5-R5)+4</f>
        <v>13.711644643688068</v>
      </c>
      <c r="T5" s="10">
        <f>G5-F5</f>
        <v>24</v>
      </c>
      <c r="U5" s="10">
        <f>S5-1.036*B29</f>
        <v>3.4642184554815749</v>
      </c>
      <c r="V5" s="10">
        <f>S5+1.036*B29</f>
        <v>23.959070831894561</v>
      </c>
    </row>
    <row r="6" spans="1:22" ht="16">
      <c r="A6" s="17">
        <v>18</v>
      </c>
      <c r="B6" s="11">
        <v>18</v>
      </c>
      <c r="C6" s="12">
        <v>46039</v>
      </c>
      <c r="D6" s="13"/>
      <c r="E6" s="11" t="s">
        <v>4</v>
      </c>
      <c r="F6" s="11">
        <v>81</v>
      </c>
      <c r="G6" s="11">
        <v>73</v>
      </c>
      <c r="H6" s="11">
        <v>63</v>
      </c>
      <c r="I6" s="11">
        <v>29</v>
      </c>
      <c r="J6" s="11">
        <v>9</v>
      </c>
      <c r="K6" s="18">
        <v>7</v>
      </c>
      <c r="M6" s="10">
        <v>117.2</v>
      </c>
      <c r="N6" s="10">
        <v>104.5</v>
      </c>
      <c r="O6" s="10">
        <v>69.786749999999998</v>
      </c>
      <c r="P6" s="10">
        <f>(C24*O6)/B28</f>
        <v>69.699086716576076</v>
      </c>
      <c r="Q6" s="10">
        <f>(((N6*A24)/B27)*P6)/100</f>
        <v>65.162025268652499</v>
      </c>
      <c r="R6" s="10">
        <f>(((B24*M6)/B27)*P6)/100</f>
        <v>68.637108576656161</v>
      </c>
      <c r="S6" s="10">
        <f>(Q6-R6)+2.5</f>
        <v>-0.97508330800366139</v>
      </c>
      <c r="T6" s="10">
        <f>F6-G6</f>
        <v>8</v>
      </c>
      <c r="U6" s="10">
        <f>S6-1.036*B29</f>
        <v>-11.222509496210154</v>
      </c>
      <c r="V6" s="10">
        <f>S6+1.036*B29</f>
        <v>9.2723428802028316</v>
      </c>
    </row>
    <row r="7" spans="1:22" ht="16">
      <c r="A7" s="17">
        <v>19</v>
      </c>
      <c r="B7" s="11">
        <v>19</v>
      </c>
      <c r="C7" s="12">
        <v>46043</v>
      </c>
      <c r="D7" s="13"/>
      <c r="E7" s="11" t="s">
        <v>48</v>
      </c>
      <c r="F7" s="11">
        <v>65</v>
      </c>
      <c r="G7" s="11">
        <v>62</v>
      </c>
      <c r="H7" s="11">
        <v>55</v>
      </c>
      <c r="I7" s="11">
        <v>13</v>
      </c>
      <c r="J7" s="11">
        <v>4</v>
      </c>
      <c r="K7" s="18">
        <v>8</v>
      </c>
      <c r="M7" s="27">
        <v>111.6</v>
      </c>
      <c r="N7" s="27">
        <v>107.1</v>
      </c>
      <c r="O7" s="27">
        <v>66.7727</v>
      </c>
      <c r="P7" s="10">
        <f>(C24*O7)/B28</f>
        <v>66.688822843876821</v>
      </c>
      <c r="Q7" s="10">
        <f>(((N7*A24)/B27)*P7)/100</f>
        <v>63.898949498584273</v>
      </c>
      <c r="R7" s="10">
        <f>(((B24*M7)/B27)*P7)/100</f>
        <v>62.534765702793464</v>
      </c>
      <c r="S7" s="10">
        <f>(Q7-R7)+2.5</f>
        <v>3.8641837957908081</v>
      </c>
      <c r="T7" s="10">
        <f>F7-G7</f>
        <v>3</v>
      </c>
      <c r="U7" s="10">
        <f>S7-1.036*B29</f>
        <v>-6.3832423924156849</v>
      </c>
      <c r="V7" s="10">
        <f>S7+1.036*B29</f>
        <v>14.111609983997301</v>
      </c>
    </row>
    <row r="8" spans="1:22" ht="14">
      <c r="A8" s="17">
        <v>20</v>
      </c>
      <c r="B8" s="11">
        <v>20</v>
      </c>
      <c r="C8" s="12">
        <v>46046</v>
      </c>
      <c r="D8" s="11" t="s">
        <v>43</v>
      </c>
      <c r="E8" s="11" t="s">
        <v>16</v>
      </c>
      <c r="F8" s="11">
        <v>64</v>
      </c>
      <c r="G8" s="11">
        <v>68</v>
      </c>
      <c r="H8" s="11">
        <v>58</v>
      </c>
      <c r="I8" s="11">
        <v>14</v>
      </c>
      <c r="J8" s="11">
        <v>7</v>
      </c>
      <c r="K8" s="18">
        <v>9</v>
      </c>
      <c r="M8" s="27">
        <v>113.1</v>
      </c>
      <c r="N8" s="27">
        <v>105.6</v>
      </c>
      <c r="O8" s="27">
        <v>64.468800000000002</v>
      </c>
      <c r="P8" s="10">
        <f>(C24*O8)/B28</f>
        <v>64.387816909565217</v>
      </c>
      <c r="Q8" s="10">
        <f>(((M8*B24)/B27)*P8)/100</f>
        <v>61.188609809802131</v>
      </c>
      <c r="R8" s="10">
        <f>(((A24*N8)/B27)*P8)/100</f>
        <v>60.830139813587984</v>
      </c>
      <c r="S8" s="10">
        <f>(Q8-R8)+2.4</f>
        <v>2.758469996214147</v>
      </c>
      <c r="T8" s="10">
        <f>G8-F8</f>
        <v>4</v>
      </c>
      <c r="U8" s="10">
        <f>S8-1.036*B29</f>
        <v>-7.4889561919923455</v>
      </c>
      <c r="V8" s="10">
        <f>S8+1.036*B29</f>
        <v>13.00589618442064</v>
      </c>
    </row>
    <row r="9" spans="1:22" ht="16">
      <c r="A9" s="17">
        <v>21</v>
      </c>
      <c r="B9" s="11">
        <v>21</v>
      </c>
      <c r="C9" s="12">
        <v>46053</v>
      </c>
      <c r="D9" s="13"/>
      <c r="E9" s="11" t="s">
        <v>5</v>
      </c>
      <c r="F9" s="11">
        <v>66</v>
      </c>
      <c r="G9" s="11">
        <v>73</v>
      </c>
      <c r="H9" s="11">
        <v>51</v>
      </c>
      <c r="I9" s="11">
        <v>26</v>
      </c>
      <c r="J9" s="11">
        <v>7</v>
      </c>
      <c r="K9" s="18">
        <v>10</v>
      </c>
      <c r="M9" s="27">
        <v>121.8</v>
      </c>
      <c r="N9" s="27">
        <v>94.7</v>
      </c>
      <c r="O9" s="27">
        <v>66.483699999999999</v>
      </c>
      <c r="P9" s="10">
        <f>(C24*O9)/B28</f>
        <v>66.400185873949269</v>
      </c>
      <c r="Q9" s="10">
        <f>(((N9*A24)/B27)*P9)/100</f>
        <v>56.25620998224926</v>
      </c>
      <c r="R9" s="10">
        <f>(((B24*M9)/B27)*P9)/100</f>
        <v>67.954913542158479</v>
      </c>
      <c r="S9" s="10">
        <f>(Q9-R9)+2.5</f>
        <v>-9.1987035599092195</v>
      </c>
      <c r="T9" s="10">
        <f>F9-G9</f>
        <v>-7</v>
      </c>
      <c r="U9" s="10">
        <f>S9-1.036*B29</f>
        <v>-19.446129748115712</v>
      </c>
      <c r="V9" s="10">
        <f>S9+1.036*B29</f>
        <v>1.0487226282972735</v>
      </c>
    </row>
    <row r="10" spans="1:22" ht="14">
      <c r="A10" s="17">
        <v>22</v>
      </c>
      <c r="B10" s="11">
        <v>22</v>
      </c>
      <c r="C10" s="12">
        <v>46056</v>
      </c>
      <c r="D10" s="11" t="s">
        <v>43</v>
      </c>
      <c r="E10" s="11" t="s">
        <v>17</v>
      </c>
      <c r="F10" s="11">
        <v>49</v>
      </c>
      <c r="G10" s="11">
        <v>67</v>
      </c>
      <c r="H10" s="11">
        <v>52</v>
      </c>
      <c r="I10" s="11">
        <v>9</v>
      </c>
      <c r="J10" s="11">
        <v>7</v>
      </c>
      <c r="K10" s="18">
        <v>11</v>
      </c>
      <c r="M10" s="27">
        <v>126.9</v>
      </c>
      <c r="N10" s="27">
        <v>94.6</v>
      </c>
      <c r="O10" s="27">
        <v>71.7059</v>
      </c>
      <c r="P10" s="10">
        <f>(C24*O10)/B28</f>
        <v>71.615825958224647</v>
      </c>
      <c r="Q10" s="10">
        <f>(((M10*B24)/B27)*P10)/100</f>
        <v>76.361580393938198</v>
      </c>
      <c r="R10" s="10">
        <f>(((A24*N10)/B27)*P10)/100</f>
        <v>60.610984391462708</v>
      </c>
      <c r="S10" s="10">
        <f>(Q10-R10)+4.5</f>
        <v>20.25059600247549</v>
      </c>
      <c r="T10" s="10">
        <f>G10-F10</f>
        <v>18</v>
      </c>
      <c r="U10" s="10">
        <f>S10-1.036*B29</f>
        <v>10.003169814268997</v>
      </c>
      <c r="V10" s="10">
        <f>S10+1.036*B29</f>
        <v>30.498022190681983</v>
      </c>
    </row>
    <row r="11" spans="1:22" ht="16">
      <c r="A11" s="17">
        <v>23</v>
      </c>
      <c r="B11" s="11">
        <v>23</v>
      </c>
      <c r="C11" s="12">
        <v>46060</v>
      </c>
      <c r="D11" s="13"/>
      <c r="E11" s="11" t="s">
        <v>46</v>
      </c>
      <c r="F11" s="11">
        <v>68</v>
      </c>
      <c r="G11" s="11">
        <v>74</v>
      </c>
      <c r="H11" s="11">
        <v>65</v>
      </c>
      <c r="I11" s="11">
        <v>10</v>
      </c>
      <c r="J11" s="11">
        <v>7</v>
      </c>
      <c r="K11" s="18">
        <v>7</v>
      </c>
      <c r="M11" s="26">
        <v>119.4</v>
      </c>
      <c r="N11" s="26">
        <v>104.2</v>
      </c>
      <c r="O11" s="26">
        <v>68.519300000000001</v>
      </c>
      <c r="P11" s="10">
        <f>(C24*O11)/B28</f>
        <v>68.433228835833333</v>
      </c>
      <c r="Q11" s="10">
        <f>(((N11*A24)/B27)*P11)/100</f>
        <v>63.794897864445687</v>
      </c>
      <c r="R11" s="10">
        <f>(((B24*M11)/B27)*P11)/100</f>
        <v>68.655548185470991</v>
      </c>
      <c r="S11" s="35">
        <f>(Q11-R11)+2.5</f>
        <v>-2.3606503210253038</v>
      </c>
      <c r="T11" s="25" t="s">
        <v>81</v>
      </c>
      <c r="U11" s="35">
        <f>S11-1.036*B29</f>
        <v>-12.608076509231797</v>
      </c>
      <c r="V11" s="35">
        <f>S11+1.036*B29</f>
        <v>7.8867758671811892</v>
      </c>
    </row>
    <row r="12" spans="1:22" ht="16">
      <c r="A12" s="17">
        <v>24</v>
      </c>
      <c r="B12" s="11">
        <v>24</v>
      </c>
      <c r="C12" s="12">
        <v>46064</v>
      </c>
      <c r="D12" s="13"/>
      <c r="E12" s="11" t="s">
        <v>22</v>
      </c>
      <c r="F12" s="11">
        <v>64</v>
      </c>
      <c r="G12" s="11">
        <v>70</v>
      </c>
      <c r="H12" s="11">
        <v>59</v>
      </c>
      <c r="I12" s="11">
        <v>8</v>
      </c>
      <c r="J12" s="11">
        <v>5</v>
      </c>
      <c r="K12" s="18">
        <v>12</v>
      </c>
      <c r="M12" s="26">
        <v>111.6</v>
      </c>
      <c r="N12" s="26">
        <v>103.8</v>
      </c>
      <c r="O12" s="26">
        <v>62.672174999999996</v>
      </c>
      <c r="P12" s="10">
        <f>(C24*O12)/B28</f>
        <v>62.59344875698369</v>
      </c>
      <c r="Q12" s="10">
        <f>(((N12*A24)/B27)*P12)/100</f>
        <v>58.126935926511251</v>
      </c>
      <c r="R12" s="10">
        <f>(((B24*M12)/B27)*P12)/100</f>
        <v>58.694493104359552</v>
      </c>
      <c r="S12" s="35">
        <f>(Q12-R12)+2.5</f>
        <v>1.9324428221516996</v>
      </c>
      <c r="T12" s="25" t="s">
        <v>81</v>
      </c>
      <c r="U12" s="35">
        <f>S12-1.036*B29</f>
        <v>-8.3149833660547934</v>
      </c>
      <c r="V12" s="35">
        <f>S12+1.036*B29</f>
        <v>12.179869010358193</v>
      </c>
    </row>
    <row r="13" spans="1:22" ht="16">
      <c r="A13" s="17">
        <v>25</v>
      </c>
      <c r="B13" s="11">
        <v>25</v>
      </c>
      <c r="C13" s="12">
        <v>46067</v>
      </c>
      <c r="D13" s="13"/>
      <c r="E13" s="11" t="s">
        <v>20</v>
      </c>
      <c r="F13" s="11">
        <v>75</v>
      </c>
      <c r="G13" s="11">
        <v>86</v>
      </c>
      <c r="H13" s="11">
        <v>60</v>
      </c>
      <c r="I13" s="11">
        <v>16</v>
      </c>
      <c r="J13" s="11">
        <v>11</v>
      </c>
      <c r="K13" s="18">
        <v>12</v>
      </c>
      <c r="M13" s="26">
        <v>114.8</v>
      </c>
      <c r="N13" s="26">
        <v>103</v>
      </c>
      <c r="O13" s="26">
        <v>70.069299999999998</v>
      </c>
      <c r="P13" s="10">
        <f>(C24*O13)/B28</f>
        <v>69.981281788731877</v>
      </c>
      <c r="Q13" s="10">
        <f>(((N13*A24)/B27)*P13)/100</f>
        <v>64.486723809257356</v>
      </c>
      <c r="R13" s="10">
        <f>(((B24*M13)/B27)*P13)/100</f>
        <v>67.503775201330441</v>
      </c>
      <c r="S13" s="35">
        <f>(Q13-R13)+2.5</f>
        <v>-0.51705139207308548</v>
      </c>
      <c r="T13" s="25" t="s">
        <v>81</v>
      </c>
      <c r="U13" s="35">
        <f>S13-1.036*B29</f>
        <v>-10.764477580279578</v>
      </c>
      <c r="V13" s="35">
        <f>S13+1.036*B29</f>
        <v>9.7303747961334075</v>
      </c>
    </row>
    <row r="14" spans="1:22" ht="14">
      <c r="A14" s="17">
        <v>26</v>
      </c>
      <c r="B14" s="11">
        <v>26</v>
      </c>
      <c r="C14" s="12">
        <v>46070</v>
      </c>
      <c r="D14" s="11" t="s">
        <v>43</v>
      </c>
      <c r="E14" s="11" t="s">
        <v>15</v>
      </c>
      <c r="F14" s="11">
        <v>72</v>
      </c>
      <c r="G14" s="11">
        <v>80</v>
      </c>
      <c r="H14" s="11">
        <v>63</v>
      </c>
      <c r="I14" s="11">
        <v>13</v>
      </c>
      <c r="J14" s="11">
        <v>7</v>
      </c>
      <c r="K14" s="18">
        <v>7</v>
      </c>
      <c r="M14" s="26">
        <v>116.5</v>
      </c>
      <c r="N14" s="26">
        <v>104.7</v>
      </c>
      <c r="O14" s="26">
        <v>71.247624999999999</v>
      </c>
      <c r="P14" s="10">
        <f>(C24*O14)/B28</f>
        <v>71.158126624682978</v>
      </c>
      <c r="Q14" s="10">
        <f>(((M14*B24)/B27)*P14)/100</f>
        <v>69.655387430722158</v>
      </c>
      <c r="R14" s="10">
        <f>(((A24*N14)/B27)*P14)/100</f>
        <v>66.65341164488828</v>
      </c>
      <c r="S14" s="35">
        <f>(Q14-R14)+2.6</f>
        <v>5.6019757858338775</v>
      </c>
      <c r="T14" s="25" t="s">
        <v>81</v>
      </c>
      <c r="U14" s="35">
        <f>S14-1.036*B29</f>
        <v>-4.6454504023726155</v>
      </c>
      <c r="V14" s="35">
        <f>S14+1.036*B29</f>
        <v>15.84940197404037</v>
      </c>
    </row>
    <row r="15" spans="1:22" ht="14">
      <c r="A15" s="17">
        <v>27</v>
      </c>
      <c r="B15" s="11">
        <v>27</v>
      </c>
      <c r="C15" s="12">
        <v>46074</v>
      </c>
      <c r="D15" s="11" t="s">
        <v>43</v>
      </c>
      <c r="E15" s="11" t="s">
        <v>13</v>
      </c>
      <c r="F15" s="11">
        <v>70</v>
      </c>
      <c r="G15" s="11">
        <v>94</v>
      </c>
      <c r="H15" s="11">
        <v>69</v>
      </c>
      <c r="I15" s="11">
        <v>20</v>
      </c>
      <c r="J15" s="11">
        <v>14</v>
      </c>
      <c r="K15" s="18">
        <v>8</v>
      </c>
      <c r="M15" s="26">
        <v>125.9</v>
      </c>
      <c r="N15" s="26">
        <v>104.5</v>
      </c>
      <c r="O15" s="26">
        <v>70.171149999999997</v>
      </c>
      <c r="P15" s="10">
        <f>(C24*O15)/B28</f>
        <v>70.083003848894919</v>
      </c>
      <c r="Q15" s="10">
        <f>(((M15*B24)/B27)*P15)/100</f>
        <v>74.138316317722982</v>
      </c>
      <c r="R15" s="10">
        <f>(((A24*N15)/B27)*P15)/100</f>
        <v>65.520951318558389</v>
      </c>
      <c r="S15" s="35">
        <f>(Q15-R15)+3.3</f>
        <v>11.917364999164594</v>
      </c>
      <c r="T15" s="25" t="s">
        <v>81</v>
      </c>
      <c r="U15" s="35">
        <f>S15-1.036*B29</f>
        <v>1.6699388109581008</v>
      </c>
      <c r="V15" s="35">
        <f>S15+1.036*B29</f>
        <v>22.164791187371087</v>
      </c>
    </row>
    <row r="16" spans="1:22" ht="16">
      <c r="A16" s="17">
        <v>28</v>
      </c>
      <c r="B16" s="13"/>
      <c r="C16" s="12">
        <v>46077</v>
      </c>
      <c r="D16" s="13"/>
      <c r="E16" s="11" t="s">
        <v>8</v>
      </c>
      <c r="F16" s="13"/>
      <c r="G16" s="13"/>
      <c r="H16" s="13"/>
      <c r="I16" s="13"/>
      <c r="J16" s="13"/>
      <c r="K16" s="19"/>
      <c r="M16" s="26">
        <v>120.5</v>
      </c>
      <c r="N16" s="26">
        <v>109.4</v>
      </c>
      <c r="O16" s="26">
        <v>68.680674999999994</v>
      </c>
      <c r="P16" s="10">
        <f>(C25*O16)/B28</f>
        <v>69.39278908567934</v>
      </c>
      <c r="Q16" s="10">
        <f>(((N16*A25)/B27)*P16)/100</f>
        <v>70.998890582289334</v>
      </c>
      <c r="R16" s="10">
        <f>(((B25*M16)/B27)*P16)/100</f>
        <v>74.592154668597274</v>
      </c>
      <c r="S16" s="41">
        <f>(Q16-R16)+2.5</f>
        <v>-1.0932640863079399</v>
      </c>
      <c r="T16" s="25" t="s">
        <v>81</v>
      </c>
      <c r="U16" s="41">
        <f>S16-1.036*B29</f>
        <v>-11.340690274514433</v>
      </c>
      <c r="V16" s="41">
        <f>S16+1.036*B29</f>
        <v>9.1541621018985531</v>
      </c>
    </row>
    <row r="17" spans="1:22" ht="16">
      <c r="A17" s="17">
        <v>29</v>
      </c>
      <c r="B17" s="13"/>
      <c r="C17" s="12">
        <v>46081</v>
      </c>
      <c r="D17" s="11" t="s">
        <v>43</v>
      </c>
      <c r="E17" s="11" t="s">
        <v>46</v>
      </c>
      <c r="F17" s="13"/>
      <c r="G17" s="13"/>
      <c r="H17" s="13"/>
      <c r="I17" s="13"/>
      <c r="J17" s="13"/>
      <c r="K17" s="19"/>
      <c r="M17" s="26">
        <v>120.1</v>
      </c>
      <c r="N17" s="26">
        <v>102.6</v>
      </c>
      <c r="O17" s="26">
        <v>69.528774999999996</v>
      </c>
      <c r="P17" s="10">
        <f>(C25*O17)/B28</f>
        <v>70.249682592092384</v>
      </c>
      <c r="Q17" s="10">
        <f>(((M17*B25)/B27)*P17)/100</f>
        <v>75.26258589229306</v>
      </c>
      <c r="R17" s="10">
        <f>(((A25*N17)/B27)*P17)/100</f>
        <v>67.408028333043347</v>
      </c>
      <c r="S17" s="41">
        <f>(Q17-R17)+3.5</f>
        <v>11.354557559249713</v>
      </c>
      <c r="T17" s="25" t="s">
        <v>81</v>
      </c>
      <c r="U17" s="41">
        <f>S17-1.036*B29</f>
        <v>1.10713137104322</v>
      </c>
      <c r="V17" s="41">
        <f>S17+1.036*B29</f>
        <v>21.601983747456206</v>
      </c>
    </row>
    <row r="18" spans="1:22" ht="16">
      <c r="A18" s="17">
        <v>30</v>
      </c>
      <c r="B18" s="13"/>
      <c r="C18" s="12">
        <v>46084</v>
      </c>
      <c r="D18" s="11" t="s">
        <v>43</v>
      </c>
      <c r="E18" s="11" t="s">
        <v>9</v>
      </c>
      <c r="F18" s="13"/>
      <c r="G18" s="13"/>
      <c r="H18" s="13"/>
      <c r="I18" s="13"/>
      <c r="J18" s="13"/>
      <c r="K18" s="19"/>
      <c r="M18" s="26">
        <v>118.6</v>
      </c>
      <c r="N18" s="26">
        <v>103</v>
      </c>
      <c r="O18" s="26">
        <v>68.6357</v>
      </c>
      <c r="P18" s="10">
        <f>(C25*O18)/B28</f>
        <v>69.347347763369569</v>
      </c>
      <c r="Q18" s="10">
        <f>(((M18*B25)/B27)*P18)/100</f>
        <v>73.367936912019914</v>
      </c>
      <c r="R18" s="10">
        <f>(((A25*N18)/B27)*P18)/100</f>
        <v>66.801617406356755</v>
      </c>
      <c r="S18" s="41">
        <f>(Q18-R18)+3.2</f>
        <v>9.7663195056631587</v>
      </c>
      <c r="T18" s="25" t="s">
        <v>81</v>
      </c>
      <c r="U18" s="41">
        <f>S18-1.036*B29</f>
        <v>-0.48110668254333433</v>
      </c>
      <c r="V18" s="41">
        <f>S18+1.036*B29</f>
        <v>20.013745693869652</v>
      </c>
    </row>
    <row r="19" spans="1:22" ht="16">
      <c r="A19" s="20">
        <v>31</v>
      </c>
      <c r="B19" s="21"/>
      <c r="C19" s="22">
        <v>46088</v>
      </c>
      <c r="D19" s="21"/>
      <c r="E19" s="23" t="s">
        <v>16</v>
      </c>
      <c r="F19" s="21"/>
      <c r="G19" s="21"/>
      <c r="H19" s="21"/>
      <c r="I19" s="21"/>
      <c r="J19" s="21"/>
      <c r="K19" s="24"/>
      <c r="M19" s="26">
        <v>117.4</v>
      </c>
      <c r="N19" s="26">
        <v>111</v>
      </c>
      <c r="O19" s="26">
        <v>71.822000000000003</v>
      </c>
      <c r="P19" s="10">
        <f>(C25*O19)/B28</f>
        <v>72.566684845652176</v>
      </c>
      <c r="Q19" s="10">
        <f>(((N19*A25)/B27)*P19)/100</f>
        <v>75.332114726687266</v>
      </c>
      <c r="R19" s="10">
        <f>(((B25*M19)/B27)*P19)/100</f>
        <v>75.99712134117955</v>
      </c>
      <c r="S19" s="41">
        <f>(Q19-R19)+2.5</f>
        <v>1.8349933855077154</v>
      </c>
      <c r="T19" s="25" t="s">
        <v>81</v>
      </c>
      <c r="U19" s="41">
        <f>S19-1.036*B29</f>
        <v>-8.4124328026987776</v>
      </c>
      <c r="V19" s="41">
        <f>S19+1.036*B29</f>
        <v>12.082419573714208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59.475999999999999</v>
      </c>
      <c r="I21" s="34">
        <v>18.927</v>
      </c>
      <c r="J21" s="34">
        <v>9.2129999999999992</v>
      </c>
      <c r="K21" s="38">
        <v>9.66</v>
      </c>
      <c r="M21" s="32" t="s">
        <v>82</v>
      </c>
      <c r="Q21" s="10"/>
      <c r="R21" s="10"/>
    </row>
    <row r="22" spans="1:22">
      <c r="F22" s="26"/>
      <c r="G22" s="26"/>
      <c r="H22" s="34">
        <v>63.378</v>
      </c>
      <c r="I22" s="34">
        <v>11.523</v>
      </c>
      <c r="J22" s="34">
        <v>7.7089999999999996</v>
      </c>
      <c r="K22" s="34">
        <v>8.5730000000000004</v>
      </c>
      <c r="M22" s="30">
        <f>(T2-S2)^2</f>
        <v>119.33958246726607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2.0057744913598238E-2</v>
      </c>
    </row>
    <row r="24" spans="1:22">
      <c r="A24" s="7">
        <v>103.6</v>
      </c>
      <c r="B24">
        <v>97.3</v>
      </c>
      <c r="C24">
        <f>H21-J21+K21+(0.475*I21)</f>
        <v>68.913325</v>
      </c>
      <c r="F24" s="26"/>
      <c r="G24" s="26"/>
      <c r="H24" s="26"/>
      <c r="I24" s="26"/>
      <c r="J24" s="26"/>
      <c r="K24" s="26"/>
      <c r="M24" s="30">
        <f t="shared" si="0"/>
        <v>0.44350197085721288</v>
      </c>
    </row>
    <row r="25" spans="1:22">
      <c r="A25" s="7">
        <v>108.3</v>
      </c>
      <c r="B25">
        <v>103.3</v>
      </c>
      <c r="C25">
        <f>H22-J22+K22+(0.475*I22)</f>
        <v>69.715424999999996</v>
      </c>
      <c r="F25" s="26"/>
      <c r="G25" s="26"/>
      <c r="H25" s="26"/>
      <c r="I25" s="26"/>
      <c r="J25" s="26"/>
      <c r="K25" s="26"/>
      <c r="M25" s="30">
        <f t="shared" si="0"/>
        <v>105.85025593775242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80.552120385605946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0.7468136329074091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1.5413967503005002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4.8342973443574744</v>
      </c>
    </row>
    <row r="30" spans="1:22">
      <c r="F30" s="26"/>
      <c r="G30" s="26"/>
      <c r="H30" s="26"/>
      <c r="I30" s="26"/>
      <c r="J30" s="26"/>
      <c r="K30" s="26"/>
      <c r="M30" s="31">
        <f>(T10-S10)^2</f>
        <v>5.0651823663586555</v>
      </c>
    </row>
    <row r="31" spans="1:22">
      <c r="F31" s="26"/>
      <c r="G31" s="26"/>
      <c r="H31" s="26"/>
      <c r="I31" s="26"/>
      <c r="J31" s="26"/>
      <c r="K31" s="26"/>
      <c r="L31" s="33" t="s">
        <v>83</v>
      </c>
      <c r="M31" s="29">
        <f>SUM(M22:M30)</f>
        <v>318.39320860031933</v>
      </c>
    </row>
  </sheetData>
  <mergeCells count="1">
    <mergeCell ref="A21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0084-4700-9149-9A7E-6AA8EC95A385}">
  <dimension ref="A1:V32"/>
  <sheetViews>
    <sheetView zoomScale="125" workbookViewId="0">
      <pane xSplit="5" topLeftCell="R1" activePane="topRight" state="frozen"/>
      <selection pane="topRight" activeCell="N22" sqref="N22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46021</v>
      </c>
      <c r="D2" s="13"/>
      <c r="E2" s="11" t="s">
        <v>7</v>
      </c>
      <c r="F2" s="11">
        <v>70</v>
      </c>
      <c r="G2" s="11">
        <v>90</v>
      </c>
      <c r="H2" s="11">
        <v>59</v>
      </c>
      <c r="I2" s="11">
        <v>27</v>
      </c>
      <c r="J2" s="11">
        <v>7</v>
      </c>
      <c r="K2" s="18">
        <v>6</v>
      </c>
      <c r="M2" s="10">
        <v>122.3</v>
      </c>
      <c r="N2" s="26">
        <v>98.9</v>
      </c>
      <c r="O2" s="10">
        <v>71.274299999999997</v>
      </c>
      <c r="P2" s="10">
        <f>(C24*O2)/B28</f>
        <v>72.378845057826084</v>
      </c>
      <c r="Q2" s="10">
        <f>(((A24*N2)/B27)*P2)/100</f>
        <v>70.964519923138283</v>
      </c>
      <c r="R2" s="10">
        <f>(((M2*B24)/B27)*P2)/100</f>
        <v>78.734807712342786</v>
      </c>
      <c r="S2" s="10">
        <f>(Q2-R2)+2.8</f>
        <v>-4.9702877892045025</v>
      </c>
      <c r="T2" s="10">
        <f>F2-G2</f>
        <v>-20</v>
      </c>
      <c r="U2" s="10">
        <f>S2-1.036*B29</f>
        <v>-15.217713977410995</v>
      </c>
      <c r="V2" s="10">
        <f>S2+1.036*B29</f>
        <v>5.2771383990019904</v>
      </c>
    </row>
    <row r="3" spans="1:22" ht="16">
      <c r="A3" s="17">
        <v>15</v>
      </c>
      <c r="B3" s="11">
        <v>15</v>
      </c>
      <c r="C3" s="12">
        <v>46024</v>
      </c>
      <c r="D3" s="13"/>
      <c r="E3" s="11" t="s">
        <v>16</v>
      </c>
      <c r="F3" s="11">
        <v>72</v>
      </c>
      <c r="G3" s="11">
        <v>71</v>
      </c>
      <c r="H3" s="11">
        <v>64</v>
      </c>
      <c r="I3" s="11">
        <v>12</v>
      </c>
      <c r="J3" s="11">
        <v>7</v>
      </c>
      <c r="K3" s="18">
        <v>3</v>
      </c>
      <c r="M3" s="10">
        <v>113.1</v>
      </c>
      <c r="N3" s="10">
        <v>105.6</v>
      </c>
      <c r="O3" s="10">
        <v>64.468800000000002</v>
      </c>
      <c r="P3" s="10">
        <f>(C24*O3)/B28</f>
        <v>65.467879533913049</v>
      </c>
      <c r="Q3" s="10">
        <f>(((A24*N3)/B27)*P3)/100</f>
        <v>68.537068000352662</v>
      </c>
      <c r="R3" s="10">
        <f>(((M3*B24)/B27)*P3)/100</f>
        <v>65.859669175683351</v>
      </c>
      <c r="S3" s="10">
        <f>(Q3-R3)+2.8</f>
        <v>5.4773988246693106</v>
      </c>
      <c r="T3" s="10">
        <f>F3-G3</f>
        <v>1</v>
      </c>
      <c r="U3" s="10">
        <f>S3-1.036*B29</f>
        <v>-4.7700273635371824</v>
      </c>
      <c r="V3" s="10">
        <f>S3+1.036*B29</f>
        <v>15.724825012875804</v>
      </c>
    </row>
    <row r="4" spans="1:22" ht="14">
      <c r="A4" s="17">
        <v>16</v>
      </c>
      <c r="B4" s="11">
        <v>16</v>
      </c>
      <c r="C4" s="12">
        <v>46029</v>
      </c>
      <c r="D4" s="11" t="s">
        <v>43</v>
      </c>
      <c r="E4" s="11" t="s">
        <v>5</v>
      </c>
      <c r="F4" s="11">
        <v>60</v>
      </c>
      <c r="G4" s="11">
        <v>84</v>
      </c>
      <c r="H4" s="11">
        <v>54</v>
      </c>
      <c r="I4" s="11">
        <v>22</v>
      </c>
      <c r="J4" s="11">
        <v>5</v>
      </c>
      <c r="K4" s="18">
        <v>9</v>
      </c>
      <c r="M4" s="10">
        <v>121.8</v>
      </c>
      <c r="N4" s="10">
        <v>94.7</v>
      </c>
      <c r="O4" s="10">
        <v>66.483699999999999</v>
      </c>
      <c r="P4" s="10">
        <f>(C24*O4)/B28</f>
        <v>67.514004643623181</v>
      </c>
      <c r="Q4" s="10">
        <f>(((M4*B24)/B27)*P4)/100</f>
        <v>73.142503787228861</v>
      </c>
      <c r="R4" s="10">
        <f>(((A24*N4)/B27)*P4)/100</f>
        <v>63.383640097014506</v>
      </c>
      <c r="S4" s="10">
        <f>(Q4-R4)+3.8</f>
        <v>13.558863690214356</v>
      </c>
      <c r="T4" s="10">
        <f>G4-F4</f>
        <v>24</v>
      </c>
      <c r="U4" s="10">
        <f>S4-1.036*B29</f>
        <v>3.3114375020078626</v>
      </c>
      <c r="V4" s="10">
        <f>S4+1.036*B29</f>
        <v>23.806289878420849</v>
      </c>
    </row>
    <row r="5" spans="1:22" ht="14">
      <c r="A5" s="17">
        <v>17</v>
      </c>
      <c r="B5" s="11">
        <v>17</v>
      </c>
      <c r="C5" s="12">
        <v>46032</v>
      </c>
      <c r="D5" s="11" t="s">
        <v>43</v>
      </c>
      <c r="E5" s="11" t="s">
        <v>9</v>
      </c>
      <c r="F5" s="11">
        <v>75</v>
      </c>
      <c r="G5" s="11">
        <v>78</v>
      </c>
      <c r="H5" s="11">
        <v>56</v>
      </c>
      <c r="I5" s="11">
        <v>21</v>
      </c>
      <c r="J5" s="11">
        <v>11</v>
      </c>
      <c r="K5" s="18">
        <v>12</v>
      </c>
      <c r="M5" s="10">
        <v>115.3</v>
      </c>
      <c r="N5" s="10">
        <v>100.9</v>
      </c>
      <c r="O5" s="10">
        <v>68.663174999999995</v>
      </c>
      <c r="P5" s="10">
        <f>(C24*O5)/B28</f>
        <v>69.727255188804335</v>
      </c>
      <c r="Q5" s="10">
        <f>(((M5*B24)/B27)*P5)/100</f>
        <v>71.508973220787681</v>
      </c>
      <c r="R5" s="10">
        <f>(((A24*N5)/B27)*P5)/100</f>
        <v>69.747246077165897</v>
      </c>
      <c r="S5" s="10">
        <f>(Q5-R5)+3.2</f>
        <v>4.9617271436217836</v>
      </c>
      <c r="T5" s="10">
        <f>G5-F5</f>
        <v>3</v>
      </c>
      <c r="U5" s="10">
        <f>S5-1.036*B29</f>
        <v>-5.2856990445847094</v>
      </c>
      <c r="V5" s="10">
        <f>S5+1.036*B29</f>
        <v>15.209153331828276</v>
      </c>
    </row>
    <row r="6" spans="1:22" ht="16">
      <c r="A6" s="17">
        <v>18</v>
      </c>
      <c r="B6" s="11">
        <v>18</v>
      </c>
      <c r="C6" s="12">
        <v>46036</v>
      </c>
      <c r="D6" s="13"/>
      <c r="E6" s="11" t="s">
        <v>17</v>
      </c>
      <c r="F6" s="11">
        <v>56</v>
      </c>
      <c r="G6" s="11">
        <v>71</v>
      </c>
      <c r="H6" s="11">
        <v>52</v>
      </c>
      <c r="I6" s="11">
        <v>17</v>
      </c>
      <c r="J6" s="11">
        <v>2</v>
      </c>
      <c r="K6" s="18">
        <v>10</v>
      </c>
      <c r="M6" s="10">
        <v>126.9</v>
      </c>
      <c r="N6" s="10">
        <v>94.6</v>
      </c>
      <c r="O6" s="10">
        <v>71.7059</v>
      </c>
      <c r="P6" s="10">
        <f>(C24*O6)/B28</f>
        <v>72.817133606811595</v>
      </c>
      <c r="Q6" s="10">
        <f>(((A24*N6)/B27)*P6)/100</f>
        <v>68.290146488830956</v>
      </c>
      <c r="R6" s="10">
        <f>(((M6*B24)/B27)*P6)/100</f>
        <v>82.190924718009725</v>
      </c>
      <c r="S6" s="10">
        <f>(Q6-R6)+2.8</f>
        <v>-11.100778229178768</v>
      </c>
      <c r="T6" s="10">
        <f>F6-G6</f>
        <v>-15</v>
      </c>
      <c r="U6" s="10">
        <f>S6-1.036*B29</f>
        <v>-21.348204417385261</v>
      </c>
      <c r="V6" s="10">
        <f>S6+1.036*B29</f>
        <v>-0.85335204097227546</v>
      </c>
    </row>
    <row r="7" spans="1:22" ht="16">
      <c r="A7" s="17">
        <v>19</v>
      </c>
      <c r="B7" s="11">
        <v>19</v>
      </c>
      <c r="C7" s="12">
        <v>46039</v>
      </c>
      <c r="D7" s="13"/>
      <c r="E7" s="11" t="s">
        <v>18</v>
      </c>
      <c r="F7" s="11">
        <v>84</v>
      </c>
      <c r="G7" s="11">
        <v>78</v>
      </c>
      <c r="H7" s="11">
        <v>58</v>
      </c>
      <c r="I7" s="11">
        <v>16</v>
      </c>
      <c r="J7" s="11">
        <v>4</v>
      </c>
      <c r="K7" s="18">
        <v>12</v>
      </c>
      <c r="M7" s="27">
        <v>128.80000000000001</v>
      </c>
      <c r="N7" s="27">
        <v>107</v>
      </c>
      <c r="O7" s="27">
        <v>71.825850000000003</v>
      </c>
      <c r="P7" s="10">
        <f>(C24*O7)/B28</f>
        <v>72.938942484130436</v>
      </c>
      <c r="Q7" s="10">
        <f>(((A24*N7)/B27)*P7)/100</f>
        <v>77.370707590506456</v>
      </c>
      <c r="R7" s="10">
        <f>(((M7*B24)/B27)*P7)/100</f>
        <v>83.561069652112963</v>
      </c>
      <c r="S7" s="10">
        <f>(Q7-R7)+2.8</f>
        <v>-3.3903620616065071</v>
      </c>
      <c r="T7" s="10">
        <f>F7-G7</f>
        <v>6</v>
      </c>
      <c r="U7" s="10">
        <f>S7-1.036*B29</f>
        <v>-13.637788249812999</v>
      </c>
      <c r="V7" s="10">
        <f>S7+1.036*B29</f>
        <v>6.8570641265999859</v>
      </c>
    </row>
    <row r="8" spans="1:22" ht="14">
      <c r="A8" s="17">
        <v>20</v>
      </c>
      <c r="B8" s="11">
        <v>20</v>
      </c>
      <c r="C8" s="12">
        <v>46046</v>
      </c>
      <c r="D8" s="11" t="s">
        <v>43</v>
      </c>
      <c r="E8" s="11" t="s">
        <v>22</v>
      </c>
      <c r="F8" s="11">
        <v>78</v>
      </c>
      <c r="G8" s="11">
        <v>66</v>
      </c>
      <c r="H8" s="11">
        <v>58</v>
      </c>
      <c r="I8" s="11">
        <v>25</v>
      </c>
      <c r="J8" s="11">
        <v>8</v>
      </c>
      <c r="K8" s="18">
        <v>10</v>
      </c>
      <c r="M8" s="27">
        <v>111.6</v>
      </c>
      <c r="N8" s="27">
        <v>103.8</v>
      </c>
      <c r="O8" s="27">
        <v>62.672174999999996</v>
      </c>
      <c r="P8" s="10">
        <f>(C24*O8)/B28</f>
        <v>63.643412054021731</v>
      </c>
      <c r="Q8" s="10">
        <f>(((M8*B24)/B27)*P8)/100</f>
        <v>63.17515482543773</v>
      </c>
      <c r="R8" s="10">
        <f>(((A24*N8)/B27)*P8)/100</f>
        <v>65.491379313870112</v>
      </c>
      <c r="S8" s="10">
        <f>(Q8-R8)+2.3</f>
        <v>-1.6224488432382778E-2</v>
      </c>
      <c r="T8" s="10">
        <f>G8-F8</f>
        <v>-12</v>
      </c>
      <c r="U8" s="10">
        <f>S8-1.036*B29</f>
        <v>-10.263650676638875</v>
      </c>
      <c r="V8" s="10">
        <f>S8+1.036*B29</f>
        <v>10.231201699774111</v>
      </c>
    </row>
    <row r="9" spans="1:22" ht="14">
      <c r="A9" s="17">
        <v>21</v>
      </c>
      <c r="B9" s="11">
        <v>21</v>
      </c>
      <c r="C9" s="12">
        <v>46050</v>
      </c>
      <c r="D9" s="11" t="s">
        <v>43</v>
      </c>
      <c r="E9" s="11" t="s">
        <v>15</v>
      </c>
      <c r="F9" s="11">
        <v>61</v>
      </c>
      <c r="G9" s="11">
        <v>63</v>
      </c>
      <c r="H9" s="11">
        <v>58</v>
      </c>
      <c r="I9" s="11">
        <v>15</v>
      </c>
      <c r="J9" s="11">
        <v>7</v>
      </c>
      <c r="K9" s="18">
        <v>11</v>
      </c>
      <c r="M9" s="27">
        <v>116.5</v>
      </c>
      <c r="N9" s="27">
        <v>104.7</v>
      </c>
      <c r="O9" s="27">
        <v>71.247624999999999</v>
      </c>
      <c r="P9" s="10">
        <f>(C24*O9)/B28</f>
        <v>72.351756672644925</v>
      </c>
      <c r="Q9" s="10">
        <f>(((M9*B24)/B27)*P9)/100</f>
        <v>74.972789654007158</v>
      </c>
      <c r="R9" s="10">
        <f>(((A24*N9)/B27)*P9)/100</f>
        <v>75.098124389659418</v>
      </c>
      <c r="S9" s="10">
        <f>(Q9-R9)+2.6</f>
        <v>2.4746652643477405</v>
      </c>
      <c r="T9" s="10">
        <f>G9-F9</f>
        <v>2</v>
      </c>
      <c r="U9" s="10">
        <f>S9-1.036*B29</f>
        <v>-7.7727609238587529</v>
      </c>
      <c r="V9" s="10">
        <f>S9+1.036*B29</f>
        <v>12.722091452554233</v>
      </c>
    </row>
    <row r="10" spans="1:22" ht="14">
      <c r="A10" s="17">
        <v>22</v>
      </c>
      <c r="B10" s="11">
        <v>22</v>
      </c>
      <c r="C10" s="12">
        <v>46053</v>
      </c>
      <c r="D10" s="11" t="s">
        <v>43</v>
      </c>
      <c r="E10" s="11" t="s">
        <v>46</v>
      </c>
      <c r="F10" s="11">
        <v>86</v>
      </c>
      <c r="G10" s="11">
        <v>85</v>
      </c>
      <c r="H10" s="11">
        <v>53</v>
      </c>
      <c r="I10" s="11">
        <v>32</v>
      </c>
      <c r="J10" s="11">
        <v>4</v>
      </c>
      <c r="K10" s="18">
        <v>7</v>
      </c>
      <c r="M10" s="27">
        <v>119.4</v>
      </c>
      <c r="N10" s="27">
        <v>104.2</v>
      </c>
      <c r="O10" s="27">
        <v>68.519300000000001</v>
      </c>
      <c r="P10" s="10">
        <f>(C24*O10)/B28</f>
        <v>69.581150543333322</v>
      </c>
      <c r="Q10" s="10">
        <f>(((M10*B24)/B27)*P10)/100</f>
        <v>73.896623973404317</v>
      </c>
      <c r="R10" s="10">
        <f>(((A24*N10)/B27)*P10)/100</f>
        <v>71.877448685962023</v>
      </c>
      <c r="S10" s="10">
        <f>(Q10-R10)+3.5</f>
        <v>5.5191752874422946</v>
      </c>
      <c r="T10" s="10">
        <f>G10-F10</f>
        <v>-1</v>
      </c>
      <c r="U10" s="10">
        <f>S10-1.036*B29</f>
        <v>-4.7282509007641984</v>
      </c>
      <c r="V10" s="10">
        <f>S10+1.036*B29</f>
        <v>15.766601475648788</v>
      </c>
    </row>
    <row r="11" spans="1:22" ht="16">
      <c r="A11" s="17">
        <v>23</v>
      </c>
      <c r="B11" s="11">
        <v>23</v>
      </c>
      <c r="C11" s="12">
        <v>46057</v>
      </c>
      <c r="D11" s="13"/>
      <c r="E11" s="11" t="s">
        <v>21</v>
      </c>
      <c r="F11" s="11">
        <v>90</v>
      </c>
      <c r="G11" s="11">
        <v>85</v>
      </c>
      <c r="H11" s="11">
        <v>54</v>
      </c>
      <c r="I11" s="11">
        <v>39</v>
      </c>
      <c r="J11" s="11">
        <v>6</v>
      </c>
      <c r="K11" s="18">
        <v>14</v>
      </c>
      <c r="M11" s="26">
        <v>109.3</v>
      </c>
      <c r="N11" s="26">
        <v>104.7</v>
      </c>
      <c r="O11" s="26">
        <v>72.415624999999991</v>
      </c>
      <c r="P11" s="10">
        <f>(C24*O11)/B28</f>
        <v>73.537857287137669</v>
      </c>
      <c r="Q11" s="10">
        <f>(((A24*N11)/B27)*P11)/100</f>
        <v>76.329247662710571</v>
      </c>
      <c r="R11" s="10">
        <f>(((M11*B24)/B27)*P11)/100</f>
        <v>71.492387180731185</v>
      </c>
      <c r="S11" s="10">
        <f>(Q11-R11)+2.8</f>
        <v>7.6368604819793857</v>
      </c>
      <c r="T11" s="25">
        <f>F11-G11</f>
        <v>5</v>
      </c>
      <c r="U11" s="10">
        <f>S11-1.036*B29</f>
        <v>-2.6105657062271073</v>
      </c>
      <c r="V11" s="10">
        <f>S11+1.036*B29</f>
        <v>17.88428667018588</v>
      </c>
    </row>
    <row r="12" spans="1:22" ht="16">
      <c r="A12" s="17">
        <v>24</v>
      </c>
      <c r="B12" s="11">
        <v>24</v>
      </c>
      <c r="C12" s="12">
        <v>46060</v>
      </c>
      <c r="D12" s="13"/>
      <c r="E12" s="11" t="s">
        <v>19</v>
      </c>
      <c r="F12" s="11">
        <v>55</v>
      </c>
      <c r="G12" s="11">
        <v>77</v>
      </c>
      <c r="H12" s="11">
        <v>48</v>
      </c>
      <c r="I12" s="11">
        <v>15</v>
      </c>
      <c r="J12" s="11">
        <v>3</v>
      </c>
      <c r="K12" s="18">
        <v>12</v>
      </c>
      <c r="M12" s="26">
        <v>115.4</v>
      </c>
      <c r="N12" s="26">
        <v>91.8</v>
      </c>
      <c r="O12" s="26">
        <v>65.54495</v>
      </c>
      <c r="P12" s="10">
        <f>(C24*O12)/B28</f>
        <v>66.560706739637681</v>
      </c>
      <c r="Q12" s="10">
        <f>(((A24*N12)/B27)*P12)/100</f>
        <v>60.575071370864869</v>
      </c>
      <c r="R12" s="10">
        <f>(((M12*B24)/B27)*P12)/100</f>
        <v>68.320714373806695</v>
      </c>
      <c r="S12" s="35">
        <f>(Q12-R12)+2.8</f>
        <v>-4.9456430029418259</v>
      </c>
      <c r="T12" s="25" t="s">
        <v>81</v>
      </c>
      <c r="U12" s="35">
        <f>S12-1.036*B29</f>
        <v>-15.193069191148318</v>
      </c>
      <c r="V12" s="35">
        <f>S12+1.036*B29</f>
        <v>5.3017831852646671</v>
      </c>
    </row>
    <row r="13" spans="1:22" ht="14">
      <c r="A13" s="17">
        <v>25</v>
      </c>
      <c r="B13" s="11">
        <v>25</v>
      </c>
      <c r="C13" s="12">
        <v>46064</v>
      </c>
      <c r="D13" s="11" t="s">
        <v>43</v>
      </c>
      <c r="E13" s="11" t="s">
        <v>4</v>
      </c>
      <c r="F13" s="11">
        <v>100</v>
      </c>
      <c r="G13" s="11">
        <v>107</v>
      </c>
      <c r="H13" s="11">
        <v>77</v>
      </c>
      <c r="I13" s="11">
        <v>25</v>
      </c>
      <c r="J13" s="11">
        <v>9</v>
      </c>
      <c r="K13" s="18">
        <v>14</v>
      </c>
      <c r="M13" s="26">
        <v>117.2</v>
      </c>
      <c r="N13" s="26">
        <v>104.5</v>
      </c>
      <c r="O13" s="26">
        <v>69.786749999999998</v>
      </c>
      <c r="P13" s="10">
        <f>(C24*O13)/B28</f>
        <v>70.868242344565203</v>
      </c>
      <c r="Q13" s="10">
        <f>(((M13*B24)/B27)*P13)/100</f>
        <v>73.876776708692006</v>
      </c>
      <c r="R13" s="10">
        <f>(((A24*N13)/B27)*P13)/100</f>
        <v>73.417785501797141</v>
      </c>
      <c r="S13" s="35">
        <f>(Q13-R13)+3.1</f>
        <v>3.558991206894865</v>
      </c>
      <c r="T13" s="25" t="s">
        <v>81</v>
      </c>
      <c r="U13" s="35">
        <f>S13-1.036*B29</f>
        <v>-6.6884349813116284</v>
      </c>
      <c r="V13" s="35">
        <f>S13+1.036*B29</f>
        <v>13.806417395101358</v>
      </c>
    </row>
    <row r="14" spans="1:22" ht="14">
      <c r="A14" s="17">
        <v>26</v>
      </c>
      <c r="B14" s="11">
        <v>26</v>
      </c>
      <c r="C14" s="12">
        <v>46067</v>
      </c>
      <c r="D14" s="11" t="s">
        <v>43</v>
      </c>
      <c r="E14" s="11" t="s">
        <v>12</v>
      </c>
      <c r="F14" s="11">
        <v>86</v>
      </c>
      <c r="G14" s="11">
        <v>75</v>
      </c>
      <c r="H14" s="11">
        <v>54</v>
      </c>
      <c r="I14" s="11">
        <v>16</v>
      </c>
      <c r="J14" s="11">
        <v>4</v>
      </c>
      <c r="K14" s="18">
        <v>7</v>
      </c>
      <c r="M14" s="26">
        <v>103.6</v>
      </c>
      <c r="N14" s="26">
        <v>97.3</v>
      </c>
      <c r="O14" s="26">
        <v>68.913325</v>
      </c>
      <c r="P14" s="10">
        <f>(C24*O14)/B28</f>
        <v>69.981281788731877</v>
      </c>
      <c r="Q14" s="10">
        <f>(((M14*B24)/B27)*P14)/100</f>
        <v>64.486723809257356</v>
      </c>
      <c r="R14" s="10">
        <f>(((A24*N14)/B27)*P14)/100</f>
        <v>67.503775201330441</v>
      </c>
      <c r="S14" s="35">
        <f>(Q14-R14)+2.6</f>
        <v>-0.41705139207308539</v>
      </c>
      <c r="T14" s="25" t="s">
        <v>81</v>
      </c>
      <c r="U14" s="35">
        <f>S14-1.036*B29</f>
        <v>-10.664477580279579</v>
      </c>
      <c r="V14" s="35">
        <f>S14+1.036*B29</f>
        <v>9.8303747961334071</v>
      </c>
    </row>
    <row r="15" spans="1:22" ht="16">
      <c r="A15" s="17">
        <v>27</v>
      </c>
      <c r="B15" s="11">
        <v>27</v>
      </c>
      <c r="C15" s="12">
        <v>46074</v>
      </c>
      <c r="D15" s="13"/>
      <c r="E15" s="11" t="s">
        <v>22</v>
      </c>
      <c r="F15" s="11">
        <v>72</v>
      </c>
      <c r="G15" s="11">
        <v>66</v>
      </c>
      <c r="H15" s="11">
        <f>0.8*63</f>
        <v>50.400000000000006</v>
      </c>
      <c r="I15" s="11">
        <f>0.8*23</f>
        <v>18.400000000000002</v>
      </c>
      <c r="J15" s="11">
        <f>0.8*11</f>
        <v>8.8000000000000007</v>
      </c>
      <c r="K15" s="18">
        <f>0.8*9</f>
        <v>7.2</v>
      </c>
      <c r="M15" s="26">
        <v>111.6</v>
      </c>
      <c r="N15" s="26">
        <v>103.8</v>
      </c>
      <c r="O15" s="26">
        <v>62.672174999999996</v>
      </c>
      <c r="P15" s="10">
        <f>(C24*O15)/B28</f>
        <v>63.643412054021731</v>
      </c>
      <c r="Q15" s="10">
        <f>(((A24*N15)/B27)*P15)/100</f>
        <v>65.491379313870112</v>
      </c>
      <c r="R15" s="10">
        <f>(((M15*B24)/B27)*P15)/100</f>
        <v>63.17515482543773</v>
      </c>
      <c r="S15" s="35">
        <f>(Q15-R15)+2.8</f>
        <v>5.1162244884323824</v>
      </c>
      <c r="T15" s="25" t="s">
        <v>81</v>
      </c>
      <c r="U15" s="35">
        <f>S15-1.036*B29</f>
        <v>-5.1312016997741106</v>
      </c>
      <c r="V15" s="35">
        <f>S15+1.036*B29</f>
        <v>15.363650676638876</v>
      </c>
    </row>
    <row r="16" spans="1:22" ht="16">
      <c r="A16" s="17">
        <v>28</v>
      </c>
      <c r="B16" s="13"/>
      <c r="C16" s="12">
        <v>46078</v>
      </c>
      <c r="D16" s="13"/>
      <c r="E16" s="11" t="s">
        <v>13</v>
      </c>
      <c r="F16" s="13"/>
      <c r="G16" s="13"/>
      <c r="H16" s="13"/>
      <c r="I16" s="13"/>
      <c r="J16" s="13"/>
      <c r="K16" s="19"/>
      <c r="M16" s="26">
        <v>129.19999999999999</v>
      </c>
      <c r="N16" s="26">
        <v>106.2</v>
      </c>
      <c r="O16" s="26">
        <v>68.590074999999999</v>
      </c>
      <c r="P16" s="10">
        <f>(C25*O16)/B28</f>
        <v>68.961356058152177</v>
      </c>
      <c r="Q16" s="10">
        <f>(((A25*N16)/B27)*P16)/100</f>
        <v>74.50184718269989</v>
      </c>
      <c r="R16" s="10">
        <f>(((M16*B25)/B27)*P16)/100</f>
        <v>78.557108410796531</v>
      </c>
      <c r="S16" s="41">
        <f>(Q16-R16)+2.8</f>
        <v>-1.2552612280966402</v>
      </c>
      <c r="T16" s="25" t="s">
        <v>81</v>
      </c>
      <c r="U16" s="41">
        <f>S16-1.036*B29</f>
        <v>-11.502687416303132</v>
      </c>
      <c r="V16" s="41">
        <f>S16+1.036*B29</f>
        <v>8.9921649601098537</v>
      </c>
    </row>
    <row r="17" spans="1:22" ht="16">
      <c r="A17" s="17">
        <v>29</v>
      </c>
      <c r="B17" s="13"/>
      <c r="C17" s="12">
        <v>46081</v>
      </c>
      <c r="D17" s="13"/>
      <c r="E17" s="11" t="s">
        <v>48</v>
      </c>
      <c r="F17" s="13"/>
      <c r="G17" s="13"/>
      <c r="H17" s="13"/>
      <c r="I17" s="13"/>
      <c r="J17" s="13"/>
      <c r="K17" s="19"/>
      <c r="M17" s="26">
        <v>107</v>
      </c>
      <c r="N17" s="26">
        <v>106.9</v>
      </c>
      <c r="O17" s="26">
        <v>67.884900000000002</v>
      </c>
      <c r="P17" s="10">
        <f>(C25*O17)/B28</f>
        <v>68.252363915217401</v>
      </c>
      <c r="Q17" s="10">
        <f>(((A25*N17)/B27)*P17)/100</f>
        <v>74.221911343594826</v>
      </c>
      <c r="R17" s="10">
        <f>(((M17*B25)/B27)*P17)/100</f>
        <v>64.390034547890806</v>
      </c>
      <c r="S17" s="41">
        <f>(Q17-R17)+2.8</f>
        <v>12.63187679570402</v>
      </c>
      <c r="T17" s="25" t="s">
        <v>81</v>
      </c>
      <c r="U17" s="41">
        <f>S17-1.036*B29</f>
        <v>2.3844506074975271</v>
      </c>
      <c r="V17" s="41">
        <f>S17+1.036*B29</f>
        <v>22.879302983910513</v>
      </c>
    </row>
    <row r="18" spans="1:22" ht="16">
      <c r="A18" s="17">
        <v>30</v>
      </c>
      <c r="B18" s="13"/>
      <c r="C18" s="12">
        <v>46085</v>
      </c>
      <c r="D18" s="11" t="s">
        <v>43</v>
      </c>
      <c r="E18" s="11" t="s">
        <v>21</v>
      </c>
      <c r="F18" s="13"/>
      <c r="G18" s="13"/>
      <c r="H18" s="13"/>
      <c r="I18" s="13"/>
      <c r="J18" s="13"/>
      <c r="K18" s="19"/>
      <c r="M18" s="26">
        <v>107.6</v>
      </c>
      <c r="N18" s="26">
        <v>109.3</v>
      </c>
      <c r="O18" s="26">
        <v>74.495924999999986</v>
      </c>
      <c r="P18" s="10">
        <f>(C25*O18)/B28</f>
        <v>74.899174680978248</v>
      </c>
      <c r="Q18" s="10">
        <f>(((M18*B25)/B27)*P18)/100</f>
        <v>71.056937571523292</v>
      </c>
      <c r="R18" s="10">
        <f>(((A25*N18)/B27)*P18)/100</f>
        <v>83.27869771778262</v>
      </c>
      <c r="S18" s="41">
        <f>(Q18-R18)+2.4</f>
        <v>-9.8217601462593276</v>
      </c>
      <c r="T18" s="25" t="s">
        <v>81</v>
      </c>
      <c r="U18" s="41">
        <f>S18-1.036*B29</f>
        <v>-20.069186334465819</v>
      </c>
      <c r="V18" s="41">
        <f>S18+1.036*B29</f>
        <v>0.4256660419471654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8</v>
      </c>
      <c r="F19" s="21"/>
      <c r="G19" s="21"/>
      <c r="H19" s="21"/>
      <c r="I19" s="21"/>
      <c r="J19" s="21"/>
      <c r="K19" s="24"/>
      <c r="M19" s="26">
        <v>120.5</v>
      </c>
      <c r="N19" s="26">
        <v>109.4</v>
      </c>
      <c r="O19" s="26">
        <v>68.680674999999994</v>
      </c>
      <c r="P19" s="10">
        <f>(C25*O19)/B28</f>
        <v>69.052446479891302</v>
      </c>
      <c r="Q19" s="10">
        <f>(((M19*B25)/B27)*P19)/100</f>
        <v>73.364050230088665</v>
      </c>
      <c r="R19" s="10">
        <f>(((A25*N19)/B27)*P19)/100</f>
        <v>76.84809797661768</v>
      </c>
      <c r="S19" s="41">
        <f>(Q19-R19)+2.3</f>
        <v>-1.1840477465290151</v>
      </c>
      <c r="T19" s="25" t="s">
        <v>81</v>
      </c>
      <c r="U19" s="41">
        <f>S19-1.036*B29</f>
        <v>-11.431473934735507</v>
      </c>
      <c r="V19" s="41">
        <f>S19+1.036*B29</f>
        <v>9.0633784416774787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57.848999999999997</v>
      </c>
      <c r="I21" s="34">
        <v>23.228000000000002</v>
      </c>
      <c r="J21" s="34">
        <v>6.54</v>
      </c>
      <c r="K21" s="34">
        <v>7.7270000000000003</v>
      </c>
      <c r="M21" s="32" t="s">
        <v>82</v>
      </c>
    </row>
    <row r="22" spans="1:22">
      <c r="F22" s="26"/>
      <c r="G22" s="26"/>
      <c r="H22" s="34">
        <v>54.884</v>
      </c>
      <c r="I22" s="34">
        <v>17.46</v>
      </c>
      <c r="J22" s="34">
        <v>4.9160000000000004</v>
      </c>
      <c r="K22" s="34">
        <v>11.112</v>
      </c>
      <c r="M22" s="30">
        <f>(T2-S2)^2</f>
        <v>225.89224913933532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20.047100235150126</v>
      </c>
    </row>
    <row r="24" spans="1:22">
      <c r="A24" s="7">
        <v>114.8</v>
      </c>
      <c r="B24">
        <v>103</v>
      </c>
      <c r="C24">
        <f>H21-J21+K21+(0.475*I21)</f>
        <v>70.069299999999998</v>
      </c>
      <c r="F24" s="26"/>
      <c r="G24" s="26"/>
      <c r="H24" s="26"/>
      <c r="I24" s="26"/>
      <c r="J24" s="26"/>
      <c r="K24" s="26"/>
      <c r="M24" s="30">
        <f t="shared" si="0"/>
        <v>109.01732743952418</v>
      </c>
    </row>
    <row r="25" spans="1:22">
      <c r="A25" s="7">
        <v>117.8</v>
      </c>
      <c r="B25">
        <v>102.1</v>
      </c>
      <c r="C25">
        <f>H22-J22+K22+(0.475*I22)</f>
        <v>69.373500000000007</v>
      </c>
      <c r="F25" s="26"/>
      <c r="G25" s="26"/>
      <c r="H25" s="26"/>
      <c r="I25" s="26"/>
      <c r="J25" s="26"/>
      <c r="K25" s="26"/>
      <c r="M25" s="30">
        <f t="shared" si="0"/>
        <v>3.848373386022482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15.20393041804626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88.178899648058788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143.61087551164772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0.22530711317831034</v>
      </c>
    </row>
    <row r="30" spans="1:22">
      <c r="F30" s="26"/>
      <c r="G30" s="26"/>
      <c r="H30" s="26"/>
      <c r="I30" s="26"/>
      <c r="J30" s="26"/>
      <c r="K30" s="26"/>
      <c r="M30" s="31">
        <f>(T10-S10)^2</f>
        <v>42.499646428398322</v>
      </c>
    </row>
    <row r="31" spans="1:22">
      <c r="F31" s="26"/>
      <c r="G31" s="26"/>
      <c r="H31" s="26"/>
      <c r="I31" s="26"/>
      <c r="J31" s="26"/>
      <c r="K31" s="26"/>
      <c r="M31" s="31">
        <f>(T11-S11)^2</f>
        <v>6.9530332014245584</v>
      </c>
    </row>
    <row r="32" spans="1:22">
      <c r="L32" s="33" t="s">
        <v>83</v>
      </c>
      <c r="M32" s="29">
        <f>SUM(M22:M31)</f>
        <v>655.47674252078616</v>
      </c>
    </row>
  </sheetData>
  <mergeCells count="1">
    <mergeCell ref="A21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64D0-5647-D44D-A48C-4ED515B25C8D}">
  <dimension ref="A1:V32"/>
  <sheetViews>
    <sheetView zoomScale="113" workbookViewId="0">
      <pane xSplit="5" topLeftCell="R1" activePane="topRight" state="frozen"/>
      <selection pane="topRight" activeCell="N23" sqref="N23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14</v>
      </c>
      <c r="B2" s="11">
        <v>14</v>
      </c>
      <c r="C2" s="12">
        <v>46022</v>
      </c>
      <c r="D2" s="11" t="s">
        <v>43</v>
      </c>
      <c r="E2" s="11" t="s">
        <v>4</v>
      </c>
      <c r="F2" s="11">
        <v>64</v>
      </c>
      <c r="G2" s="11">
        <v>61</v>
      </c>
      <c r="H2" s="11">
        <v>56</v>
      </c>
      <c r="I2" s="11">
        <v>12</v>
      </c>
      <c r="J2" s="11">
        <v>4</v>
      </c>
      <c r="K2" s="18">
        <v>8</v>
      </c>
      <c r="M2" s="10">
        <v>117.2</v>
      </c>
      <c r="N2" s="26">
        <v>104.5</v>
      </c>
      <c r="O2" s="10">
        <v>69.786749999999998</v>
      </c>
      <c r="P2" s="10">
        <f>(C24*O2)/B28</f>
        <v>66.292304919021731</v>
      </c>
      <c r="Q2" s="10">
        <f>(((M2*B24)/B27)*P2)/100</f>
        <v>61.592077455229536</v>
      </c>
      <c r="R2" s="10">
        <f>(((A24*N2)/B27)*P2)/100</f>
        <v>69.036165173571575</v>
      </c>
      <c r="S2" s="10">
        <f>(Q2-R2)+3.1</f>
        <v>-4.3440877183420401</v>
      </c>
      <c r="T2" s="10">
        <f>G2-F2</f>
        <v>-3</v>
      </c>
      <c r="U2" s="10">
        <f>S2-1.036*B29</f>
        <v>-14.591513906548533</v>
      </c>
      <c r="V2" s="10">
        <f>S2+1.036*B29</f>
        <v>5.9033384698644529</v>
      </c>
    </row>
    <row r="3" spans="1:22" ht="14">
      <c r="A3" s="17">
        <v>15</v>
      </c>
      <c r="B3" s="11">
        <v>15</v>
      </c>
      <c r="C3" s="12">
        <v>46025</v>
      </c>
      <c r="D3" s="11" t="s">
        <v>43</v>
      </c>
      <c r="E3" s="11" t="s">
        <v>48</v>
      </c>
      <c r="F3" s="11">
        <v>73</v>
      </c>
      <c r="G3" s="11">
        <v>68</v>
      </c>
      <c r="H3" s="11">
        <v>45</v>
      </c>
      <c r="I3" s="11">
        <v>25</v>
      </c>
      <c r="J3" s="11">
        <v>4</v>
      </c>
      <c r="K3" s="18">
        <v>14</v>
      </c>
      <c r="M3" s="10">
        <v>111.6</v>
      </c>
      <c r="N3" s="10">
        <v>107.1</v>
      </c>
      <c r="O3" s="10">
        <v>66.7727</v>
      </c>
      <c r="P3" s="10">
        <f>(C24*O3)/B28</f>
        <v>63.429178012536227</v>
      </c>
      <c r="Q3" s="10">
        <f>(((M3*B24)/B27)*P3)/100</f>
        <v>56.116089571422464</v>
      </c>
      <c r="R3" s="10">
        <f>(((A24*N3)/B27)*P3)/100</f>
        <v>67.697994557638992</v>
      </c>
      <c r="S3" s="10">
        <f>(Q3-R3)+2.7</f>
        <v>-8.8819049862165294</v>
      </c>
      <c r="T3" s="10">
        <f>G3-F3</f>
        <v>-5</v>
      </c>
      <c r="U3" s="10">
        <f>S3-1.036*B29</f>
        <v>-19.129331174423022</v>
      </c>
      <c r="V3" s="10">
        <f>S3+1.036*B29</f>
        <v>1.3655212019899636</v>
      </c>
    </row>
    <row r="4" spans="1:22" ht="16">
      <c r="A4" s="17">
        <v>16</v>
      </c>
      <c r="B4" s="11">
        <v>16</v>
      </c>
      <c r="C4" s="12">
        <v>46029</v>
      </c>
      <c r="D4" s="13"/>
      <c r="E4" s="11" t="s">
        <v>13</v>
      </c>
      <c r="F4" s="11">
        <v>74</v>
      </c>
      <c r="G4" s="11">
        <v>70</v>
      </c>
      <c r="H4" s="11">
        <v>56</v>
      </c>
      <c r="I4" s="11">
        <v>24</v>
      </c>
      <c r="J4" s="11">
        <v>10</v>
      </c>
      <c r="K4" s="18">
        <v>8</v>
      </c>
      <c r="M4" s="10">
        <v>125.9</v>
      </c>
      <c r="N4" s="10">
        <v>104.5</v>
      </c>
      <c r="O4" s="10">
        <v>70.171149999999997</v>
      </c>
      <c r="P4" s="10">
        <f>(C24*O4)/B28</f>
        <v>66.657456785398537</v>
      </c>
      <c r="Q4" s="10">
        <f>(((A24*N4)/B27)*P4)/100</f>
        <v>69.416430795523027</v>
      </c>
      <c r="R4" s="10">
        <f>(((M4*B24)/B27)*P4)/100</f>
        <v>66.528631752336608</v>
      </c>
      <c r="S4" s="10">
        <f>(Q4-R4)+4</f>
        <v>6.8877990431864191</v>
      </c>
      <c r="T4" s="10">
        <f>F4-G4</f>
        <v>4</v>
      </c>
      <c r="U4" s="10">
        <f>S4-1.036*B29</f>
        <v>-3.3596271450200739</v>
      </c>
      <c r="V4" s="10">
        <f>S4+1.036*B29</f>
        <v>17.135225231392912</v>
      </c>
    </row>
    <row r="5" spans="1:22" ht="14">
      <c r="A5" s="17">
        <v>17</v>
      </c>
      <c r="B5" s="11">
        <v>17</v>
      </c>
      <c r="C5" s="12">
        <v>46032</v>
      </c>
      <c r="D5" s="11" t="s">
        <v>43</v>
      </c>
      <c r="E5" s="11" t="s">
        <v>16</v>
      </c>
      <c r="F5" s="11">
        <v>76</v>
      </c>
      <c r="G5" s="11">
        <v>61</v>
      </c>
      <c r="H5" s="11">
        <v>58</v>
      </c>
      <c r="I5" s="11">
        <v>18</v>
      </c>
      <c r="J5" s="11">
        <v>5</v>
      </c>
      <c r="K5" s="18">
        <v>4</v>
      </c>
      <c r="M5" s="10">
        <v>113.1</v>
      </c>
      <c r="N5" s="10">
        <v>105.6</v>
      </c>
      <c r="O5" s="10">
        <v>64.468800000000002</v>
      </c>
      <c r="P5" s="10">
        <f>(C24*O5)/B28</f>
        <v>61.240641631304349</v>
      </c>
      <c r="Q5" s="10">
        <f>(((M5*B24)/B27)*P5)/100</f>
        <v>54.908105439408281</v>
      </c>
      <c r="R5" s="10">
        <f>(((A24*N5)/B27)*P5)/100</f>
        <v>64.446732009763934</v>
      </c>
      <c r="S5" s="10">
        <f>(Q5-R5)+2.4</f>
        <v>-7.1386265703556528</v>
      </c>
      <c r="T5" s="10">
        <f>G5-F5</f>
        <v>-15</v>
      </c>
      <c r="U5" s="10">
        <f>S5-1.036*B29</f>
        <v>-17.386052758562144</v>
      </c>
      <c r="V5" s="10">
        <f>S5+1.036*B29</f>
        <v>3.1087996178508401</v>
      </c>
    </row>
    <row r="6" spans="1:22" ht="16">
      <c r="A6" s="17">
        <v>18</v>
      </c>
      <c r="B6" s="11">
        <v>18</v>
      </c>
      <c r="C6" s="12">
        <v>46035</v>
      </c>
      <c r="D6" s="13"/>
      <c r="E6" s="11" t="s">
        <v>12</v>
      </c>
      <c r="F6" s="11">
        <v>74</v>
      </c>
      <c r="G6" s="11">
        <v>50</v>
      </c>
      <c r="H6" s="11">
        <v>54</v>
      </c>
      <c r="I6" s="11">
        <v>23</v>
      </c>
      <c r="J6" s="11">
        <v>8</v>
      </c>
      <c r="K6" s="18">
        <v>10</v>
      </c>
      <c r="M6" s="10">
        <v>103.6</v>
      </c>
      <c r="N6" s="10">
        <v>97.3</v>
      </c>
      <c r="O6" s="10">
        <v>68.913325</v>
      </c>
      <c r="P6" s="10">
        <f>(C24*O6)/B28</f>
        <v>65.462615093605081</v>
      </c>
      <c r="Q6" s="10">
        <f>(((A24*N6)/B27)*P6)/100</f>
        <v>63.475106784916854</v>
      </c>
      <c r="R6" s="10">
        <f>(((M6*B24)/B27)*P6)/100</f>
        <v>53.763462141228786</v>
      </c>
      <c r="S6" s="10">
        <f>(Q6-R6)+4</f>
        <v>13.711644643688068</v>
      </c>
      <c r="T6" s="10">
        <f>F6-G6</f>
        <v>24</v>
      </c>
      <c r="U6" s="10">
        <f>S6-1.036*B29</f>
        <v>3.4642184554815749</v>
      </c>
      <c r="V6" s="10">
        <f>S6+1.036*B29</f>
        <v>23.959070831894561</v>
      </c>
    </row>
    <row r="7" spans="1:22" ht="16">
      <c r="A7" s="17">
        <v>19</v>
      </c>
      <c r="B7" s="11">
        <v>19</v>
      </c>
      <c r="C7" s="12">
        <v>46039</v>
      </c>
      <c r="D7" s="13"/>
      <c r="E7" s="11" t="s">
        <v>46</v>
      </c>
      <c r="F7" s="11">
        <v>69</v>
      </c>
      <c r="G7" s="11">
        <v>59</v>
      </c>
      <c r="H7" s="11">
        <v>51</v>
      </c>
      <c r="I7" s="11">
        <v>10</v>
      </c>
      <c r="J7" s="11">
        <v>4</v>
      </c>
      <c r="K7" s="18">
        <v>11</v>
      </c>
      <c r="M7" s="27">
        <v>119.4</v>
      </c>
      <c r="N7" s="27">
        <v>104.2</v>
      </c>
      <c r="O7" s="27">
        <v>68.519300000000001</v>
      </c>
      <c r="P7" s="10">
        <f>(C24*O7)/B28</f>
        <v>65.088320181666674</v>
      </c>
      <c r="Q7" s="10">
        <f>(((A24*N7)/B27)*P7)/100</f>
        <v>67.587756642666989</v>
      </c>
      <c r="R7" s="10">
        <f>(((M7*B24)/B27)*P7)/100</f>
        <v>61.608624390814676</v>
      </c>
      <c r="S7" s="10">
        <f>(Q7-R7)+4</f>
        <v>9.9791322518523131</v>
      </c>
      <c r="T7" s="10">
        <f>F7-G7</f>
        <v>10</v>
      </c>
      <c r="U7" s="10">
        <f>S7-1.036*B29</f>
        <v>-0.26829393635417986</v>
      </c>
      <c r="V7" s="10">
        <f>S7+1.036*B29</f>
        <v>20.226558440058806</v>
      </c>
    </row>
    <row r="8" spans="1:22" ht="16">
      <c r="A8" s="17">
        <v>20</v>
      </c>
      <c r="B8" s="11">
        <v>20</v>
      </c>
      <c r="C8" s="12">
        <v>46042</v>
      </c>
      <c r="D8" s="13"/>
      <c r="E8" s="11" t="s">
        <v>10</v>
      </c>
      <c r="F8" s="11">
        <v>76</v>
      </c>
      <c r="G8" s="11">
        <v>80</v>
      </c>
      <c r="H8" s="11">
        <v>58</v>
      </c>
      <c r="I8" s="11">
        <v>24</v>
      </c>
      <c r="J8" s="11">
        <v>9</v>
      </c>
      <c r="K8" s="18">
        <v>13</v>
      </c>
      <c r="M8" s="27">
        <v>125.2</v>
      </c>
      <c r="N8" s="27">
        <v>100.9</v>
      </c>
      <c r="O8" s="27">
        <v>71.373625000000004</v>
      </c>
      <c r="P8" s="10">
        <f>(C24*O8)/B28</f>
        <v>67.799720028170299</v>
      </c>
      <c r="Q8" s="10">
        <f>(((A24*N8)/B27)*P8)/100</f>
        <v>68.173613821002689</v>
      </c>
      <c r="R8" s="10">
        <f>(((M8*B24)/B27)*P8)/100</f>
        <v>67.292451656560573</v>
      </c>
      <c r="S8" s="10">
        <f>(Q8-R8)+4</f>
        <v>4.8811621644421166</v>
      </c>
      <c r="T8" s="10">
        <f>F8-G8</f>
        <v>-4</v>
      </c>
      <c r="U8" s="10">
        <f>S8-1.036*B29</f>
        <v>-5.3662640237643764</v>
      </c>
      <c r="V8" s="10">
        <f>S8+1.036*B29</f>
        <v>15.12858835264861</v>
      </c>
    </row>
    <row r="9" spans="1:22" ht="14">
      <c r="A9" s="17">
        <v>21</v>
      </c>
      <c r="B9" s="11">
        <v>21</v>
      </c>
      <c r="C9" s="12">
        <v>46046</v>
      </c>
      <c r="D9" s="11" t="s">
        <v>43</v>
      </c>
      <c r="E9" s="11" t="s">
        <v>21</v>
      </c>
      <c r="F9" s="11">
        <v>77</v>
      </c>
      <c r="G9" s="11">
        <v>63</v>
      </c>
      <c r="H9" s="11">
        <v>61</v>
      </c>
      <c r="I9" s="11">
        <v>13</v>
      </c>
      <c r="J9" s="11">
        <v>6</v>
      </c>
      <c r="K9" s="18">
        <v>8</v>
      </c>
      <c r="M9" s="27">
        <v>109.3</v>
      </c>
      <c r="N9" s="27">
        <v>104.7</v>
      </c>
      <c r="O9" s="27">
        <v>72.415624999999991</v>
      </c>
      <c r="P9" s="10">
        <f>(C24*O9)/B28</f>
        <v>68.789543765851434</v>
      </c>
      <c r="Q9" s="10">
        <f>(((M9*B24)/B27)*P9)/100</f>
        <v>59.604179349324198</v>
      </c>
      <c r="R9" s="10">
        <f>(((A24*N9)/B27)*P9)/100</f>
        <v>71.773869413268415</v>
      </c>
      <c r="S9" s="10">
        <f>(Q9-R9)+2.4</f>
        <v>-9.7696900639442159</v>
      </c>
      <c r="T9" s="10">
        <f>G9-F9</f>
        <v>-14</v>
      </c>
      <c r="U9" s="10">
        <f>S9-1.036*B29</f>
        <v>-20.017116252150707</v>
      </c>
      <c r="V9" s="10">
        <f>S9+1.036*B29</f>
        <v>0.47773612426227707</v>
      </c>
    </row>
    <row r="10" spans="1:22" ht="16">
      <c r="A10" s="17">
        <v>22</v>
      </c>
      <c r="B10" s="11">
        <v>22</v>
      </c>
      <c r="C10" s="12">
        <v>46053</v>
      </c>
      <c r="D10" s="13"/>
      <c r="E10" s="11" t="s">
        <v>48</v>
      </c>
      <c r="F10" s="11">
        <v>63</v>
      </c>
      <c r="G10" s="11">
        <v>52</v>
      </c>
      <c r="H10" s="11">
        <v>41</v>
      </c>
      <c r="I10" s="11">
        <v>20</v>
      </c>
      <c r="J10" s="11">
        <v>3</v>
      </c>
      <c r="K10" s="18">
        <v>10</v>
      </c>
      <c r="M10" s="27">
        <v>111.6</v>
      </c>
      <c r="N10" s="27">
        <v>107.1</v>
      </c>
      <c r="O10" s="27">
        <v>66.7727</v>
      </c>
      <c r="P10" s="10">
        <f>(C24*O10)/B28</f>
        <v>63.429178012536227</v>
      </c>
      <c r="Q10" s="10">
        <f>(((A24*N10)/B27)*P10)/100</f>
        <v>67.697994557638992</v>
      </c>
      <c r="R10" s="10">
        <f>(((M10*B24)/B27)*P10)/100</f>
        <v>56.116089571422464</v>
      </c>
      <c r="S10" s="10">
        <f>(Q10-R10)+4</f>
        <v>15.581904986216529</v>
      </c>
      <c r="T10" s="10">
        <f>F10-G10</f>
        <v>11</v>
      </c>
      <c r="U10" s="10">
        <f>S10-1.036*B29</f>
        <v>5.3344787980100357</v>
      </c>
      <c r="V10" s="10">
        <f>S10+1.036*B29</f>
        <v>25.829331174423022</v>
      </c>
    </row>
    <row r="11" spans="1:22" ht="14">
      <c r="A11" s="17">
        <v>23</v>
      </c>
      <c r="B11" s="11">
        <v>23</v>
      </c>
      <c r="C11" s="12">
        <v>46057</v>
      </c>
      <c r="D11" s="11" t="s">
        <v>43</v>
      </c>
      <c r="E11" s="11" t="s">
        <v>22</v>
      </c>
      <c r="F11" s="11">
        <v>66</v>
      </c>
      <c r="G11" s="11">
        <v>64</v>
      </c>
      <c r="H11" s="11">
        <v>46</v>
      </c>
      <c r="I11" s="11">
        <v>22</v>
      </c>
      <c r="J11" s="11">
        <v>4</v>
      </c>
      <c r="K11" s="18">
        <v>12</v>
      </c>
      <c r="M11" s="26">
        <v>111.6</v>
      </c>
      <c r="N11" s="26">
        <v>103.8</v>
      </c>
      <c r="O11" s="26">
        <v>62.672174999999996</v>
      </c>
      <c r="P11" s="10">
        <f>(C24*O11)/B28</f>
        <v>59.533979373423911</v>
      </c>
      <c r="Q11" s="10">
        <f>(((M11*B24)/B27)*P11)/100</f>
        <v>52.669989171261065</v>
      </c>
      <c r="R11" s="10">
        <f>(((A24*N11)/B27)*P11)/100</f>
        <v>61.582811969269933</v>
      </c>
      <c r="S11" s="10">
        <f>(Q11-R11)+2.3</f>
        <v>-6.6128227980088683</v>
      </c>
      <c r="T11" s="25">
        <f>G11-F11</f>
        <v>-2</v>
      </c>
      <c r="U11" s="10">
        <f>S11-1.036*B29</f>
        <v>-16.86024898621536</v>
      </c>
      <c r="V11" s="10">
        <f>S11+1.036*B29</f>
        <v>3.6346033901976247</v>
      </c>
    </row>
    <row r="12" spans="1:22" ht="14">
      <c r="A12" s="17">
        <v>24</v>
      </c>
      <c r="B12" s="11">
        <v>24</v>
      </c>
      <c r="C12" s="12">
        <v>46060</v>
      </c>
      <c r="D12" s="11" t="s">
        <v>43</v>
      </c>
      <c r="E12" s="11" t="s">
        <v>20</v>
      </c>
      <c r="F12" s="11">
        <v>77</v>
      </c>
      <c r="G12" s="11">
        <v>55</v>
      </c>
      <c r="H12" s="11">
        <v>49</v>
      </c>
      <c r="I12" s="11">
        <v>19</v>
      </c>
      <c r="J12" s="11">
        <v>4</v>
      </c>
      <c r="K12" s="18">
        <v>8</v>
      </c>
      <c r="M12" s="26">
        <v>114.8</v>
      </c>
      <c r="N12" s="26">
        <v>103</v>
      </c>
      <c r="O12" s="26">
        <v>70.069299999999998</v>
      </c>
      <c r="P12" s="10">
        <f>(C24*O12)/B28</f>
        <v>66.560706739637681</v>
      </c>
      <c r="Q12" s="10">
        <f>(((M12*B24)/B27)*P12)/100</f>
        <v>60.575071370864869</v>
      </c>
      <c r="R12" s="10">
        <f>(((A24*N12)/B27)*P12)/100</f>
        <v>68.320714373806695</v>
      </c>
      <c r="S12" s="35">
        <f>(Q12-R12)+2.8</f>
        <v>-4.9456430029418259</v>
      </c>
      <c r="T12" s="25" t="s">
        <v>81</v>
      </c>
      <c r="U12" s="35">
        <f>S12-1.036*B29</f>
        <v>-15.193069191148318</v>
      </c>
      <c r="V12" s="35">
        <f>S12+1.036*B29</f>
        <v>5.3017831852646671</v>
      </c>
    </row>
    <row r="13" spans="1:22" ht="16">
      <c r="A13" s="17">
        <v>25</v>
      </c>
      <c r="B13" s="11">
        <v>25</v>
      </c>
      <c r="C13" s="12">
        <v>46064</v>
      </c>
      <c r="D13" s="13"/>
      <c r="E13" s="11" t="s">
        <v>9</v>
      </c>
      <c r="F13" s="11">
        <v>66</v>
      </c>
      <c r="G13" s="11">
        <v>76</v>
      </c>
      <c r="H13" s="11">
        <v>55</v>
      </c>
      <c r="I13" s="11">
        <v>18</v>
      </c>
      <c r="J13" s="11">
        <v>8</v>
      </c>
      <c r="K13" s="18">
        <v>9</v>
      </c>
      <c r="M13" s="26">
        <v>115.3</v>
      </c>
      <c r="N13" s="26">
        <v>100.9</v>
      </c>
      <c r="O13" s="26">
        <v>68.663174999999995</v>
      </c>
      <c r="P13" s="10">
        <f>(C24*O13)/B28</f>
        <v>65.224990901684777</v>
      </c>
      <c r="Q13" s="10">
        <f>(((A24*N13)/B27)*P13)/100</f>
        <v>65.584685886052796</v>
      </c>
      <c r="R13" s="10">
        <f>(((M13*B24)/B27)*P13)/100</f>
        <v>59.618007357385025</v>
      </c>
      <c r="S13" s="35">
        <f>(Q13-R13)+4</f>
        <v>9.9666785286677708</v>
      </c>
      <c r="T13" s="25" t="s">
        <v>81</v>
      </c>
      <c r="U13" s="35">
        <f>S13-1.036*B29</f>
        <v>-0.28074765953872216</v>
      </c>
      <c r="V13" s="35">
        <f>S13+1.036*B29</f>
        <v>20.214104716874264</v>
      </c>
    </row>
    <row r="14" spans="1:22" ht="14">
      <c r="A14" s="17">
        <v>26</v>
      </c>
      <c r="B14" s="11">
        <v>26</v>
      </c>
      <c r="C14" s="12">
        <v>46067</v>
      </c>
      <c r="D14" s="11" t="s">
        <v>43</v>
      </c>
      <c r="E14" s="11" t="s">
        <v>17</v>
      </c>
      <c r="F14" s="11">
        <v>54</v>
      </c>
      <c r="G14" s="11">
        <v>67</v>
      </c>
      <c r="H14" s="11">
        <v>57</v>
      </c>
      <c r="I14" s="11">
        <v>10</v>
      </c>
      <c r="J14" s="11">
        <v>5</v>
      </c>
      <c r="K14" s="18">
        <v>7</v>
      </c>
      <c r="M14" s="26">
        <v>126.9</v>
      </c>
      <c r="N14" s="26">
        <v>94.6</v>
      </c>
      <c r="O14" s="26">
        <v>71.7059</v>
      </c>
      <c r="P14" s="10">
        <f>(C24*O14)/B28</f>
        <v>68.115356959492757</v>
      </c>
      <c r="Q14" s="10">
        <f>(((M14*B24)/B27)*P14)/100</f>
        <v>68.523696171939051</v>
      </c>
      <c r="R14" s="10">
        <f>(((A24*N14)/B27)*P14)/100</f>
        <v>64.214546931750334</v>
      </c>
      <c r="S14" s="35">
        <f>(Q14-R14)+4.5</f>
        <v>8.8091492401887166</v>
      </c>
      <c r="T14" s="25" t="s">
        <v>81</v>
      </c>
      <c r="U14" s="35">
        <f>S14-1.036*B29</f>
        <v>-1.4382769480177764</v>
      </c>
      <c r="V14" s="35">
        <f>S14+1.036*B29</f>
        <v>19.05657542839521</v>
      </c>
    </row>
    <row r="15" spans="1:22" ht="14">
      <c r="A15" s="17">
        <v>27</v>
      </c>
      <c r="B15" s="11">
        <v>27</v>
      </c>
      <c r="C15" s="12">
        <v>46071</v>
      </c>
      <c r="D15" s="11" t="s">
        <v>43</v>
      </c>
      <c r="E15" s="11" t="s">
        <v>8</v>
      </c>
      <c r="F15" s="11">
        <v>77</v>
      </c>
      <c r="G15" s="11">
        <v>85</v>
      </c>
      <c r="H15" s="11">
        <v>56</v>
      </c>
      <c r="I15" s="11">
        <v>25</v>
      </c>
      <c r="J15" s="11">
        <v>9</v>
      </c>
      <c r="K15" s="18">
        <v>9</v>
      </c>
      <c r="M15" s="26">
        <v>114.7</v>
      </c>
      <c r="N15" s="26">
        <v>105.6</v>
      </c>
      <c r="O15" s="26">
        <v>70.806899999999999</v>
      </c>
      <c r="P15" s="10">
        <f>(C24*O15)/B28</f>
        <v>67.261372755869573</v>
      </c>
      <c r="Q15" s="10">
        <f>(((M15*B24)/B27)*P15)/100</f>
        <v>61.1594070792762</v>
      </c>
      <c r="R15" s="10">
        <f>(((A24*N15)/B27)*P15)/100</f>
        <v>70.782662446674266</v>
      </c>
      <c r="S15" s="35">
        <f>(Q15-R15)+2.3</f>
        <v>-7.3232553673980663</v>
      </c>
      <c r="T15" s="25" t="s">
        <v>81</v>
      </c>
      <c r="U15" s="35">
        <f>S15-1.036*B29</f>
        <v>-17.570681555604558</v>
      </c>
      <c r="V15" s="35">
        <f>S15+1.036*B29</f>
        <v>2.9241708208084267</v>
      </c>
    </row>
    <row r="16" spans="1:22" ht="16">
      <c r="A16" s="17">
        <v>28</v>
      </c>
      <c r="B16" s="11">
        <v>28</v>
      </c>
      <c r="C16" s="12">
        <v>46074</v>
      </c>
      <c r="D16" s="13"/>
      <c r="E16" s="11" t="s">
        <v>15</v>
      </c>
      <c r="F16" s="11">
        <v>65</v>
      </c>
      <c r="G16" s="11">
        <v>70</v>
      </c>
      <c r="H16" s="11">
        <v>56</v>
      </c>
      <c r="I16" s="11">
        <v>15</v>
      </c>
      <c r="J16" s="11">
        <v>9</v>
      </c>
      <c r="K16" s="18">
        <v>8</v>
      </c>
      <c r="M16" s="26">
        <v>116.5</v>
      </c>
      <c r="N16" s="26">
        <v>104.7</v>
      </c>
      <c r="O16" s="26">
        <v>71.247624999999999</v>
      </c>
      <c r="P16" s="10">
        <f>(C24*O16)/B28</f>
        <v>67.680029249909424</v>
      </c>
      <c r="Q16" s="10">
        <f>(((A24*N16)/B27)*P16)/100</f>
        <v>70.616220363430116</v>
      </c>
      <c r="R16" s="10">
        <f>(((M16*B24)/B27)*P16)/100</f>
        <v>62.50583841269485</v>
      </c>
      <c r="S16" s="35">
        <f>(Q16-R16)+4</f>
        <v>12.110381950735267</v>
      </c>
      <c r="T16" s="25" t="s">
        <v>81</v>
      </c>
      <c r="U16" s="35">
        <f>S16-1.036*B29</f>
        <v>1.8629557625287738</v>
      </c>
      <c r="V16" s="35">
        <f>S16+1.036*B29</f>
        <v>22.35780813894176</v>
      </c>
    </row>
    <row r="17" spans="1:22" ht="16">
      <c r="A17" s="17">
        <v>29</v>
      </c>
      <c r="B17" s="13"/>
      <c r="C17" s="12">
        <v>46081</v>
      </c>
      <c r="D17" s="13"/>
      <c r="E17" s="11" t="s">
        <v>7</v>
      </c>
      <c r="F17" s="13"/>
      <c r="G17" s="13"/>
      <c r="H17" s="13"/>
      <c r="I17" s="13"/>
      <c r="J17" s="13"/>
      <c r="K17" s="19"/>
      <c r="M17" s="26">
        <v>125.9</v>
      </c>
      <c r="N17" s="26">
        <v>96.3</v>
      </c>
      <c r="O17" s="26">
        <v>73.021024999999995</v>
      </c>
      <c r="P17" s="10">
        <f>(C25*O17)/B28</f>
        <v>67.019728563831521</v>
      </c>
      <c r="Q17" s="10">
        <f>(((A25*N17)/B27)*P17)/100</f>
        <v>63.871190331249863</v>
      </c>
      <c r="R17" s="10">
        <f>(((M17*B25)/B27)*P17)/100</f>
        <v>71.553572688385444</v>
      </c>
      <c r="S17" s="41">
        <f>(Q17-R17)+4</f>
        <v>-3.6823823571355803</v>
      </c>
      <c r="T17" s="25" t="s">
        <v>81</v>
      </c>
      <c r="U17" s="41">
        <f>S17-1.036*B29</f>
        <v>-13.929808545342073</v>
      </c>
      <c r="V17" s="41">
        <f>S17+1.036*B29</f>
        <v>6.5650438310709127</v>
      </c>
    </row>
    <row r="18" spans="1:22" ht="16">
      <c r="A18" s="17">
        <v>30</v>
      </c>
      <c r="B18" s="13"/>
      <c r="C18" s="12">
        <v>46084</v>
      </c>
      <c r="D18" s="11" t="s">
        <v>43</v>
      </c>
      <c r="E18" s="11" t="s">
        <v>18</v>
      </c>
      <c r="F18" s="13"/>
      <c r="G18" s="13"/>
      <c r="H18" s="13"/>
      <c r="I18" s="13"/>
      <c r="J18" s="13"/>
      <c r="K18" s="36"/>
      <c r="M18" s="26">
        <v>121.9</v>
      </c>
      <c r="N18" s="26">
        <v>101.3</v>
      </c>
      <c r="O18" s="26">
        <v>67.448224999999994</v>
      </c>
      <c r="P18" s="10">
        <f>(C25*O18)/B28</f>
        <v>61.904933977744555</v>
      </c>
      <c r="Q18" s="10">
        <f>(((M18*B25)/B27)*P18)/100</f>
        <v>63.992915766434322</v>
      </c>
      <c r="R18" s="10">
        <f>(((A25*N18)/B27)*P18)/100</f>
        <v>62.059856688165546</v>
      </c>
      <c r="S18" s="41">
        <f>(Q18-R18)+3.7</f>
        <v>5.6330590782687766</v>
      </c>
      <c r="T18" s="25" t="s">
        <v>81</v>
      </c>
      <c r="U18" s="41">
        <f>S18-1.036*B29</f>
        <v>-4.6143671099377164</v>
      </c>
      <c r="V18" s="41">
        <f>S18+1.036*B29</f>
        <v>15.880485266475269</v>
      </c>
    </row>
    <row r="19" spans="1:22" ht="16">
      <c r="A19" s="20">
        <v>31</v>
      </c>
      <c r="B19" s="21"/>
      <c r="C19" s="22">
        <v>46088</v>
      </c>
      <c r="D19" s="21"/>
      <c r="E19" s="23" t="s">
        <v>21</v>
      </c>
      <c r="F19" s="21"/>
      <c r="G19" s="21"/>
      <c r="H19" s="21"/>
      <c r="I19" s="21"/>
      <c r="J19" s="21"/>
      <c r="K19" s="24"/>
      <c r="M19" s="26">
        <v>107.6</v>
      </c>
      <c r="N19" s="26">
        <v>109.3</v>
      </c>
      <c r="O19" s="26">
        <v>74.495924999999986</v>
      </c>
      <c r="P19" s="10">
        <f>(C25*O19)/B28</f>
        <v>68.373412624809774</v>
      </c>
      <c r="Q19" s="10">
        <f>(((A25*N19)/B27)*P19)/100</f>
        <v>73.957713677684779</v>
      </c>
      <c r="R19" s="10">
        <f>(((M19*B25)/B27)*P19)/100</f>
        <v>62.38820011103455</v>
      </c>
      <c r="S19" s="41">
        <f>(Q19-R19)+4</f>
        <v>15.56951356665023</v>
      </c>
      <c r="T19" s="25" t="s">
        <v>81</v>
      </c>
      <c r="U19" s="41">
        <f>S19-1.036*B29</f>
        <v>5.3220873784437366</v>
      </c>
      <c r="V19" s="41">
        <f>S19+1.036*B29</f>
        <v>25.816939754856723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54.113999999999997</v>
      </c>
      <c r="I21" s="34">
        <v>16.161999999999999</v>
      </c>
      <c r="J21" s="34">
        <v>5.1189999999999998</v>
      </c>
      <c r="K21" s="34">
        <v>8.8729999999999993</v>
      </c>
      <c r="M21" s="32" t="s">
        <v>82</v>
      </c>
    </row>
    <row r="22" spans="1:22">
      <c r="F22" s="26"/>
      <c r="G22" s="26"/>
      <c r="H22" s="34">
        <v>52.332999999999998</v>
      </c>
      <c r="I22" s="34">
        <v>17.972999999999999</v>
      </c>
      <c r="J22" s="34">
        <v>5.6719999999999997</v>
      </c>
      <c r="K22" s="34">
        <v>8.1310000000000002</v>
      </c>
      <c r="M22" s="30">
        <f>(T2-S2)^2</f>
        <v>1.8065717945979114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15.069186322012753</v>
      </c>
    </row>
    <row r="24" spans="1:22">
      <c r="A24" s="7">
        <v>115.4</v>
      </c>
      <c r="B24">
        <v>91.8</v>
      </c>
      <c r="C24">
        <f>H21-J21+K21+(0.475*I21)</f>
        <v>65.54495</v>
      </c>
      <c r="F24" s="26"/>
      <c r="G24" s="26"/>
      <c r="H24" s="26"/>
      <c r="I24" s="26"/>
      <c r="J24" s="26"/>
      <c r="K24" s="26"/>
      <c r="M24" s="30">
        <f t="shared" si="0"/>
        <v>8.3393833138283977</v>
      </c>
    </row>
    <row r="25" spans="1:22">
      <c r="A25" s="7">
        <v>114.6</v>
      </c>
      <c r="B25">
        <v>98.2</v>
      </c>
      <c r="C25">
        <f>H22-J22+K22+(0.475*I22)</f>
        <v>63.329174999999999</v>
      </c>
      <c r="F25" s="26"/>
      <c r="G25" s="26"/>
      <c r="H25" s="26"/>
      <c r="I25" s="26"/>
      <c r="J25" s="26"/>
      <c r="K25" s="26"/>
      <c r="M25" s="30">
        <f t="shared" si="0"/>
        <v>61.801192200318127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105.85025593775242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4.3546291275528928E-4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78.875041391118188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17.895522155092291</v>
      </c>
    </row>
    <row r="30" spans="1:22">
      <c r="F30" s="26"/>
      <c r="G30" s="26"/>
      <c r="H30" s="26"/>
      <c r="I30" s="26"/>
      <c r="J30" s="26"/>
      <c r="K30" s="26"/>
      <c r="M30" s="31">
        <f>(T10-S10)^2</f>
        <v>20.993853302715888</v>
      </c>
    </row>
    <row r="31" spans="1:22">
      <c r="F31" s="26"/>
      <c r="G31" s="26"/>
      <c r="H31" s="26"/>
      <c r="I31" s="26"/>
      <c r="J31" s="26"/>
      <c r="K31" s="26"/>
      <c r="M31" s="31">
        <f>(T11-S11)^2</f>
        <v>21.278134165830366</v>
      </c>
    </row>
    <row r="32" spans="1:22">
      <c r="L32" s="33" t="s">
        <v>83</v>
      </c>
      <c r="M32" s="29">
        <f>SUM(M22:M31)</f>
        <v>331.90957604617904</v>
      </c>
    </row>
  </sheetData>
  <mergeCells count="1"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E67A-C09F-CF48-9F9E-2ADA0080A70B}">
  <dimension ref="A1:V35"/>
  <sheetViews>
    <sheetView zoomScaleNormal="174" workbookViewId="0">
      <pane xSplit="5" topLeftCell="L1" activePane="topRight" state="frozen"/>
      <selection pane="topRight" activeCell="S38" sqref="S38"/>
    </sheetView>
  </sheetViews>
  <sheetFormatPr baseColWidth="10" defaultRowHeight="13"/>
  <cols>
    <col min="17" max="17" width="11.6640625" bestFit="1" customWidth="1"/>
    <col min="21" max="22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13</v>
      </c>
      <c r="B2" s="11">
        <v>13</v>
      </c>
      <c r="C2" s="12">
        <v>46022</v>
      </c>
      <c r="D2" s="13"/>
      <c r="E2" s="11" t="s">
        <v>21</v>
      </c>
      <c r="F2" s="11">
        <v>85</v>
      </c>
      <c r="G2" s="11">
        <v>79</v>
      </c>
      <c r="H2" s="11">
        <v>64</v>
      </c>
      <c r="I2" s="11">
        <v>35</v>
      </c>
      <c r="J2" s="11">
        <v>17</v>
      </c>
      <c r="K2" s="18">
        <v>12</v>
      </c>
      <c r="M2" s="10">
        <v>109.3</v>
      </c>
      <c r="N2" s="26">
        <v>104.7</v>
      </c>
      <c r="O2" s="10">
        <v>72.415624999999991</v>
      </c>
      <c r="P2" s="10">
        <f>(C24*O2)/B28</f>
        <v>75.255471951992746</v>
      </c>
      <c r="Q2" s="10">
        <f>(((A24*N2)/B27)*P2)/100</f>
        <v>86.345126097332908</v>
      </c>
      <c r="R2" s="10">
        <f>(((M2*B24)/B27)*P2)/100</f>
        <v>67.195597908443474</v>
      </c>
      <c r="S2" s="10">
        <f>(Q2-R2)+4.5</f>
        <v>23.649528188889434</v>
      </c>
      <c r="T2" s="10">
        <f>F2-G2</f>
        <v>6</v>
      </c>
      <c r="U2" s="10">
        <f>S2-1.036*B29</f>
        <v>13.402102000682941</v>
      </c>
      <c r="V2" s="10">
        <f>S2+1.036*B29</f>
        <v>33.896954377095923</v>
      </c>
    </row>
    <row r="3" spans="1:22" ht="14">
      <c r="A3" s="17">
        <v>14</v>
      </c>
      <c r="B3" s="11">
        <v>14</v>
      </c>
      <c r="C3" s="12">
        <v>46025</v>
      </c>
      <c r="D3" s="11" t="s">
        <v>43</v>
      </c>
      <c r="E3" s="11" t="s">
        <v>15</v>
      </c>
      <c r="F3" s="11">
        <v>91</v>
      </c>
      <c r="G3" s="11">
        <v>87</v>
      </c>
      <c r="H3" s="11">
        <v>53</v>
      </c>
      <c r="I3" s="11">
        <v>25</v>
      </c>
      <c r="J3" s="11">
        <v>10</v>
      </c>
      <c r="K3" s="18">
        <v>15</v>
      </c>
      <c r="M3" s="10">
        <v>116.5</v>
      </c>
      <c r="N3" s="10">
        <v>104.7</v>
      </c>
      <c r="O3" s="10">
        <v>71.247624999999999</v>
      </c>
      <c r="P3" s="10">
        <f>(C24*O3)/B28</f>
        <v>74.041667731702901</v>
      </c>
      <c r="Q3" s="10">
        <f>(((M3*B24)/B27)*P3)/100</f>
        <v>70.466823480511607</v>
      </c>
      <c r="R3" s="10">
        <f>(((A24*N3)/B27)*P3)/100</f>
        <v>84.952455561358335</v>
      </c>
      <c r="S3" s="10">
        <f>(Q3-R3)+2.6</f>
        <v>-11.885632080846728</v>
      </c>
      <c r="T3" s="10">
        <f>G3-F3</f>
        <v>-4</v>
      </c>
      <c r="U3" s="10">
        <f>S3-1.036*B29</f>
        <v>-22.133058269053222</v>
      </c>
      <c r="V3" s="10">
        <f>S3+1.036*B29</f>
        <v>-1.6382058926402348</v>
      </c>
    </row>
    <row r="4" spans="1:22" ht="14">
      <c r="A4" s="17">
        <v>15</v>
      </c>
      <c r="B4" s="11">
        <v>15</v>
      </c>
      <c r="C4" s="12">
        <v>46028</v>
      </c>
      <c r="D4" s="11" t="s">
        <v>43</v>
      </c>
      <c r="E4" s="11" t="s">
        <v>7</v>
      </c>
      <c r="F4" s="11">
        <v>84</v>
      </c>
      <c r="G4" s="11">
        <v>73</v>
      </c>
      <c r="H4" s="11">
        <v>57</v>
      </c>
      <c r="I4" s="11">
        <v>28</v>
      </c>
      <c r="J4" s="11">
        <v>6</v>
      </c>
      <c r="K4" s="18">
        <v>12</v>
      </c>
      <c r="M4" s="10">
        <v>122.3</v>
      </c>
      <c r="N4" s="10">
        <v>98.9</v>
      </c>
      <c r="O4" s="10">
        <v>71.274299999999997</v>
      </c>
      <c r="P4" s="10">
        <f>(C24*O4)/B28</f>
        <v>74.069388816956518</v>
      </c>
      <c r="Q4" s="10">
        <f>(((M4*B24)/B27)*P4)/100</f>
        <v>74.002739159661814</v>
      </c>
      <c r="R4" s="10">
        <f>(((A24*N4)/B27)*P4)/100</f>
        <v>80.276441977739154</v>
      </c>
      <c r="S4" s="10">
        <f>(Q4-R4)+3.5</f>
        <v>-2.7737028180773393</v>
      </c>
      <c r="T4" s="10">
        <f>G4-F4</f>
        <v>-11</v>
      </c>
      <c r="U4" s="10">
        <f>S4-1.036*B29</f>
        <v>-13.021129006283832</v>
      </c>
      <c r="V4" s="10">
        <f>S4+1.036*B29</f>
        <v>7.4737233701291537</v>
      </c>
    </row>
    <row r="5" spans="1:22" ht="16">
      <c r="A5" s="17">
        <v>16</v>
      </c>
      <c r="B5" s="11">
        <v>16</v>
      </c>
      <c r="C5" s="12">
        <v>46032</v>
      </c>
      <c r="D5" s="13"/>
      <c r="E5" s="11" t="s">
        <v>13</v>
      </c>
      <c r="F5" s="11">
        <v>82</v>
      </c>
      <c r="G5" s="11">
        <v>75</v>
      </c>
      <c r="H5" s="11">
        <v>51</v>
      </c>
      <c r="I5" s="11">
        <v>27</v>
      </c>
      <c r="J5" s="11">
        <v>6</v>
      </c>
      <c r="K5" s="18">
        <v>13</v>
      </c>
      <c r="M5" s="10">
        <v>125.9</v>
      </c>
      <c r="N5" s="10">
        <v>104.5</v>
      </c>
      <c r="O5" s="10">
        <v>70.171149999999997</v>
      </c>
      <c r="P5" s="10">
        <f>(C24*O5)/B28</f>
        <v>72.922977750507243</v>
      </c>
      <c r="Q5" s="10">
        <f>(((A24*N5)/B27)*P5)/100</f>
        <v>83.509089300376871</v>
      </c>
      <c r="R5" s="10">
        <f>(((M5*B24)/B27)*P5)/100</f>
        <v>75.001975321712109</v>
      </c>
      <c r="S5" s="10">
        <f>(Q5-R5)+4.5</f>
        <v>13.007113978664762</v>
      </c>
      <c r="T5" s="10">
        <f>F5-G5</f>
        <v>7</v>
      </c>
      <c r="U5" s="10">
        <f>S5-1.036*B29</f>
        <v>2.7596877904582691</v>
      </c>
      <c r="V5" s="10">
        <f>S5+1.036*B29</f>
        <v>23.254540166871255</v>
      </c>
    </row>
    <row r="6" spans="1:22" ht="14">
      <c r="A6" s="17">
        <v>17</v>
      </c>
      <c r="B6" s="11">
        <v>17</v>
      </c>
      <c r="C6" s="12">
        <v>46036</v>
      </c>
      <c r="D6" s="11" t="s">
        <v>43</v>
      </c>
      <c r="E6" s="11" t="s">
        <v>20</v>
      </c>
      <c r="F6" s="11">
        <v>71</v>
      </c>
      <c r="G6" s="11">
        <v>56</v>
      </c>
      <c r="H6" s="11">
        <v>62</v>
      </c>
      <c r="I6" s="11">
        <v>17</v>
      </c>
      <c r="J6" s="11">
        <v>11</v>
      </c>
      <c r="K6" s="18">
        <v>10</v>
      </c>
      <c r="M6" s="10">
        <v>114.8</v>
      </c>
      <c r="N6" s="10">
        <v>103</v>
      </c>
      <c r="O6" s="10">
        <v>70.069299999999998</v>
      </c>
      <c r="P6" s="10">
        <f>(C24*O6)/B28</f>
        <v>72.817133606811595</v>
      </c>
      <c r="Q6" s="10">
        <f>(((M6*B24)/B27)*P6)/100</f>
        <v>68.290146488830956</v>
      </c>
      <c r="R6" s="10">
        <f>(((A24*N6)/B27)*P6)/100</f>
        <v>82.190924718009725</v>
      </c>
      <c r="S6" s="10">
        <f>(Q6-R6)+2.8</f>
        <v>-11.100778229178768</v>
      </c>
      <c r="T6" s="10">
        <f>G6-F6</f>
        <v>-15</v>
      </c>
      <c r="U6" s="10">
        <f>S6-1.036*B29</f>
        <v>-21.348204417385261</v>
      </c>
      <c r="V6" s="10">
        <f>S6+1.036*B29</f>
        <v>-0.85335204097227546</v>
      </c>
    </row>
    <row r="7" spans="1:22" ht="14">
      <c r="A7" s="17">
        <v>18</v>
      </c>
      <c r="B7" s="11">
        <v>18</v>
      </c>
      <c r="C7" s="12">
        <v>46039</v>
      </c>
      <c r="D7" s="11" t="s">
        <v>43</v>
      </c>
      <c r="E7" s="11" t="s">
        <v>22</v>
      </c>
      <c r="F7" s="11">
        <v>80</v>
      </c>
      <c r="G7" s="11">
        <v>50</v>
      </c>
      <c r="H7" s="11">
        <v>50</v>
      </c>
      <c r="I7" s="11">
        <v>28</v>
      </c>
      <c r="J7" s="11">
        <v>10</v>
      </c>
      <c r="K7" s="18">
        <v>9</v>
      </c>
      <c r="M7" s="27">
        <v>111.6</v>
      </c>
      <c r="N7" s="27">
        <v>103.8</v>
      </c>
      <c r="O7" s="27">
        <v>62.672174999999996</v>
      </c>
      <c r="P7" s="10">
        <f>(C24*O7)/B28</f>
        <v>65.129923381630434</v>
      </c>
      <c r="Q7" s="10">
        <f>(((M7*B24)/B27)*P7)/100</f>
        <v>59.378242479472355</v>
      </c>
      <c r="R7" s="10">
        <f>(((A24*N7)/B27)*P7)/100</f>
        <v>74.085119116233159</v>
      </c>
      <c r="S7" s="10">
        <f>(Q7-R7)+2.3</f>
        <v>-12.406876636760803</v>
      </c>
      <c r="T7" s="10">
        <f>G7-F7</f>
        <v>-30</v>
      </c>
      <c r="U7" s="10">
        <f>S7-1.036*B29</f>
        <v>-22.654302824967296</v>
      </c>
      <c r="V7" s="10">
        <f>S7+1.036*B29</f>
        <v>-2.1594504485543098</v>
      </c>
    </row>
    <row r="8" spans="1:22" ht="16">
      <c r="A8" s="17">
        <v>19</v>
      </c>
      <c r="B8" s="11">
        <v>19</v>
      </c>
      <c r="C8" s="12">
        <v>46046</v>
      </c>
      <c r="D8" s="13"/>
      <c r="E8" s="11" t="s">
        <v>8</v>
      </c>
      <c r="F8" s="11">
        <v>90</v>
      </c>
      <c r="G8" s="11">
        <v>69</v>
      </c>
      <c r="H8" s="11">
        <v>62</v>
      </c>
      <c r="I8" s="11">
        <v>24</v>
      </c>
      <c r="J8" s="11">
        <v>16</v>
      </c>
      <c r="K8" s="18">
        <v>8</v>
      </c>
      <c r="M8" s="27">
        <v>114.7</v>
      </c>
      <c r="N8" s="27">
        <v>105.6</v>
      </c>
      <c r="O8" s="27">
        <v>70.806899999999999</v>
      </c>
      <c r="P8" s="10">
        <f>(C24*O8)/B28</f>
        <v>73.583659285652175</v>
      </c>
      <c r="Q8" s="10">
        <f>(((A24*N8)/B27)*P8)/100</f>
        <v>85.152688080283411</v>
      </c>
      <c r="R8" s="10">
        <f>(((M8*B24)/B27)*P8)/100</f>
        <v>68.948905450611662</v>
      </c>
      <c r="S8" s="10">
        <f>(Q8-R8)+4.5</f>
        <v>20.70378262967175</v>
      </c>
      <c r="T8" s="10">
        <f>F8-G8</f>
        <v>21</v>
      </c>
      <c r="U8" s="10">
        <f>S8-1.036*B29</f>
        <v>10.456356441465257</v>
      </c>
      <c r="V8" s="10">
        <f>S8+1.036*B29</f>
        <v>30.951208817878243</v>
      </c>
    </row>
    <row r="9" spans="1:22" ht="16">
      <c r="A9" s="17">
        <v>20</v>
      </c>
      <c r="B9" s="11">
        <v>20</v>
      </c>
      <c r="C9" s="12">
        <v>46048</v>
      </c>
      <c r="D9" s="13"/>
      <c r="E9" s="11" t="s">
        <v>7</v>
      </c>
      <c r="F9" s="11">
        <v>83</v>
      </c>
      <c r="G9" s="11">
        <v>52</v>
      </c>
      <c r="H9" s="11">
        <v>61</v>
      </c>
      <c r="I9" s="11">
        <v>18</v>
      </c>
      <c r="J9" s="11">
        <v>15</v>
      </c>
      <c r="K9" s="18">
        <v>10</v>
      </c>
      <c r="M9" s="27">
        <v>122.3</v>
      </c>
      <c r="N9" s="27">
        <v>98.9</v>
      </c>
      <c r="O9" s="27">
        <v>71.274299999999997</v>
      </c>
      <c r="P9" s="10">
        <f>(C24*O9)/B28</f>
        <v>74.069388816956518</v>
      </c>
      <c r="Q9" s="10">
        <f>(((A24*N9)/B27)*P9)/100</f>
        <v>80.276441977739154</v>
      </c>
      <c r="R9" s="10">
        <f>(((M9*B24)/B27)*P9)/100</f>
        <v>74.002739159661814</v>
      </c>
      <c r="S9" s="10">
        <f>(Q9-R9)+4.5</f>
        <v>10.773702818077339</v>
      </c>
      <c r="T9" s="10">
        <f>F9-G9</f>
        <v>31</v>
      </c>
      <c r="U9" s="10">
        <f>S9-1.036*B29</f>
        <v>0.52627662987084634</v>
      </c>
      <c r="V9" s="10">
        <f>S9+1.036*B29</f>
        <v>21.021129006283832</v>
      </c>
    </row>
    <row r="10" spans="1:22" ht="14">
      <c r="A10" s="17">
        <v>21</v>
      </c>
      <c r="B10" s="11">
        <v>21</v>
      </c>
      <c r="C10" s="12">
        <v>46053</v>
      </c>
      <c r="D10" s="11" t="s">
        <v>43</v>
      </c>
      <c r="E10" s="11" t="s">
        <v>9</v>
      </c>
      <c r="F10" s="11">
        <v>72</v>
      </c>
      <c r="G10" s="11">
        <v>58</v>
      </c>
      <c r="H10" s="11">
        <v>59</v>
      </c>
      <c r="I10" s="11">
        <v>7</v>
      </c>
      <c r="J10" s="11">
        <v>10</v>
      </c>
      <c r="K10" s="18">
        <v>8</v>
      </c>
      <c r="M10" s="27">
        <v>115.3</v>
      </c>
      <c r="N10" s="27">
        <v>100.9</v>
      </c>
      <c r="O10" s="27">
        <v>68.663174999999995</v>
      </c>
      <c r="P10" s="10">
        <f>(C24*O10)/B28</f>
        <v>71.355866090326074</v>
      </c>
      <c r="Q10" s="10">
        <f>(((M10*B24)/B27)*P10)/100</f>
        <v>67.211187105034611</v>
      </c>
      <c r="R10" s="10">
        <f>(((A24*N10)/B27)*P10)/100</f>
        <v>78.899438182419175</v>
      </c>
      <c r="S10" s="10">
        <f>(Q10-R10)+3.2</f>
        <v>-8.4882510773845645</v>
      </c>
      <c r="T10" s="10">
        <f>G10-F10</f>
        <v>-14</v>
      </c>
      <c r="U10" s="10">
        <f>S10-1.036*B29</f>
        <v>-18.735677265591058</v>
      </c>
      <c r="V10" s="10">
        <f>S10+1.036*B29</f>
        <v>1.7591751108219285</v>
      </c>
    </row>
    <row r="11" spans="1:22" ht="16">
      <c r="A11" s="17">
        <v>22</v>
      </c>
      <c r="B11" s="11">
        <v>22</v>
      </c>
      <c r="C11" s="12">
        <v>46056</v>
      </c>
      <c r="D11" s="13"/>
      <c r="E11" s="11" t="s">
        <v>12</v>
      </c>
      <c r="F11" s="11">
        <v>67</v>
      </c>
      <c r="G11" s="11">
        <v>49</v>
      </c>
      <c r="H11" s="11">
        <v>50</v>
      </c>
      <c r="I11" s="11">
        <v>20</v>
      </c>
      <c r="J11" s="11">
        <v>7</v>
      </c>
      <c r="K11" s="18">
        <v>9</v>
      </c>
      <c r="M11" s="26">
        <v>103.6</v>
      </c>
      <c r="N11" s="26">
        <v>97.3</v>
      </c>
      <c r="O11" s="26">
        <v>68.913325</v>
      </c>
      <c r="P11" s="10">
        <f>(C24*O11)/B28</f>
        <v>71.615825958224647</v>
      </c>
      <c r="Q11" s="10">
        <f>(((A24*N11)/B27)*P11)/100</f>
        <v>76.361580393938198</v>
      </c>
      <c r="R11" s="10">
        <f>(((M11*B24)/B27)*P11)/100</f>
        <v>60.610984391462708</v>
      </c>
      <c r="S11" s="10">
        <f>(Q11-R11)+4.5</f>
        <v>20.25059600247549</v>
      </c>
      <c r="T11" s="25">
        <f>F11-G11</f>
        <v>18</v>
      </c>
      <c r="U11" s="10">
        <f>S11-1.036*B29</f>
        <v>10.003169814268997</v>
      </c>
      <c r="V11" s="10">
        <f>S11+1.036*B29</f>
        <v>30.498022190681983</v>
      </c>
    </row>
    <row r="12" spans="1:22" ht="14">
      <c r="A12" s="17">
        <v>23</v>
      </c>
      <c r="B12" s="11">
        <v>23</v>
      </c>
      <c r="C12" s="12">
        <v>46060</v>
      </c>
      <c r="D12" s="11" t="s">
        <v>43</v>
      </c>
      <c r="E12" s="11" t="s">
        <v>18</v>
      </c>
      <c r="F12" s="11">
        <v>68</v>
      </c>
      <c r="G12" s="11">
        <v>71</v>
      </c>
      <c r="H12" s="11">
        <v>62</v>
      </c>
      <c r="I12" s="11">
        <v>6</v>
      </c>
      <c r="J12" s="11">
        <v>7</v>
      </c>
      <c r="K12" s="18">
        <v>8</v>
      </c>
      <c r="M12" s="26">
        <v>128.80000000000001</v>
      </c>
      <c r="N12" s="26">
        <v>107</v>
      </c>
      <c r="O12" s="26">
        <v>71.825850000000003</v>
      </c>
      <c r="P12" s="10">
        <f>(C24*O12)/B28</f>
        <v>74.642568369782609</v>
      </c>
      <c r="Q12" s="10">
        <f>(((M12*B24)/B27)*P12)/100</f>
        <v>78.538936221955851</v>
      </c>
      <c r="R12" s="10">
        <f>(((A24*N12)/B27)*P12)/100</f>
        <v>87.523245776806505</v>
      </c>
      <c r="S12" s="35">
        <f>(Q12-R12)+3.7</f>
        <v>-5.2843095548506538</v>
      </c>
      <c r="T12" s="25" t="s">
        <v>81</v>
      </c>
      <c r="U12" s="35">
        <f>S12-1.036*B29</f>
        <v>-15.531735743057148</v>
      </c>
      <c r="V12" s="35">
        <f>S12+1.036*B29</f>
        <v>4.9631166333558392</v>
      </c>
    </row>
    <row r="13" spans="1:22" ht="14">
      <c r="A13" s="17">
        <v>24</v>
      </c>
      <c r="B13" s="11">
        <v>24</v>
      </c>
      <c r="C13" s="12">
        <v>46063</v>
      </c>
      <c r="D13" s="11" t="s">
        <v>43</v>
      </c>
      <c r="E13" s="11" t="s">
        <v>48</v>
      </c>
      <c r="F13" s="11">
        <v>70</v>
      </c>
      <c r="G13" s="11">
        <v>54</v>
      </c>
      <c r="H13" s="11">
        <v>51</v>
      </c>
      <c r="I13" s="11">
        <v>8</v>
      </c>
      <c r="J13" s="11">
        <v>7</v>
      </c>
      <c r="K13" s="18">
        <v>13</v>
      </c>
      <c r="M13" s="26">
        <v>111.6</v>
      </c>
      <c r="N13" s="26">
        <v>107.1</v>
      </c>
      <c r="O13" s="26">
        <v>66.7727</v>
      </c>
      <c r="P13" s="10">
        <f>(C24*O13)/B28</f>
        <v>69.391254332318837</v>
      </c>
      <c r="Q13" s="10">
        <f>(((M13*B24)/B27)*P13)/100</f>
        <v>63.263251540401512</v>
      </c>
      <c r="R13" s="10">
        <f>(((A24*N13)/B27)*P13)/100</f>
        <v>81.441782704490663</v>
      </c>
      <c r="S13" s="35">
        <f>(Q13-R13)+2.7</f>
        <v>-15.478531164089151</v>
      </c>
      <c r="T13" s="25" t="s">
        <v>81</v>
      </c>
      <c r="U13" s="35">
        <f>S13-1.036*B29</f>
        <v>-25.725957352295644</v>
      </c>
      <c r="V13" s="35">
        <f>S13+1.036*B29</f>
        <v>-5.2311049758826584</v>
      </c>
    </row>
    <row r="14" spans="1:22" ht="16">
      <c r="A14" s="17">
        <v>25</v>
      </c>
      <c r="B14" s="11">
        <v>25</v>
      </c>
      <c r="C14" s="12">
        <v>46067</v>
      </c>
      <c r="D14" s="13"/>
      <c r="E14" s="11" t="s">
        <v>19</v>
      </c>
      <c r="F14" s="11">
        <v>67</v>
      </c>
      <c r="G14" s="11">
        <v>54</v>
      </c>
      <c r="H14" s="11">
        <v>54</v>
      </c>
      <c r="I14" s="11">
        <v>15</v>
      </c>
      <c r="J14" s="11">
        <v>7</v>
      </c>
      <c r="K14" s="18">
        <v>8</v>
      </c>
      <c r="M14" s="26">
        <v>115.4</v>
      </c>
      <c r="N14" s="26">
        <v>91.8</v>
      </c>
      <c r="O14" s="26">
        <v>65.54495</v>
      </c>
      <c r="P14" s="10">
        <f>(C24*O14)/B28</f>
        <v>68.115356959492757</v>
      </c>
      <c r="Q14" s="10">
        <f>(((A24*N14)/B27)*P14)/100</f>
        <v>68.523696171939051</v>
      </c>
      <c r="R14" s="10">
        <f>(((M14*B24)/B27)*P14)/100</f>
        <v>64.214546931750334</v>
      </c>
      <c r="S14" s="35">
        <f>(Q14-R14)+4.5</f>
        <v>8.8091492401887166</v>
      </c>
      <c r="T14" s="25" t="s">
        <v>81</v>
      </c>
      <c r="U14" s="35">
        <f>S14-1.036*B29</f>
        <v>-1.4382769480177764</v>
      </c>
      <c r="V14" s="35">
        <f>S14+1.036*B29</f>
        <v>19.05657542839521</v>
      </c>
    </row>
    <row r="15" spans="1:22" ht="16">
      <c r="A15" s="17">
        <v>26</v>
      </c>
      <c r="B15" s="11">
        <v>26</v>
      </c>
      <c r="C15" s="12">
        <v>46069</v>
      </c>
      <c r="D15" s="13"/>
      <c r="E15" s="11" t="s">
        <v>4</v>
      </c>
      <c r="F15" s="11">
        <v>101</v>
      </c>
      <c r="G15" s="11">
        <v>64</v>
      </c>
      <c r="H15" s="11">
        <v>61</v>
      </c>
      <c r="I15" s="11">
        <v>20</v>
      </c>
      <c r="J15" s="11">
        <v>10</v>
      </c>
      <c r="K15" s="18">
        <v>4</v>
      </c>
      <c r="M15" s="26">
        <v>117.2</v>
      </c>
      <c r="N15" s="26">
        <v>104.5</v>
      </c>
      <c r="O15" s="26">
        <v>69.786749999999998</v>
      </c>
      <c r="P15" s="10">
        <f>(C24*O15)/B28</f>
        <v>72.523503142391291</v>
      </c>
      <c r="Q15" s="10">
        <f>(((A24*N15)/B27)*P15)/100</f>
        <v>83.051623605043872</v>
      </c>
      <c r="R15" s="10">
        <f>(((M15*B24)/B27)*P15)/100</f>
        <v>69.436682397242592</v>
      </c>
      <c r="S15" s="35">
        <f>(Q15-R15)+4.5</f>
        <v>18.11494120780128</v>
      </c>
      <c r="T15" s="25" t="s">
        <v>81</v>
      </c>
      <c r="U15" s="35">
        <f>S15-1.036*B29</f>
        <v>7.8675150195947872</v>
      </c>
      <c r="V15" s="35">
        <f>S15+1.036*B29</f>
        <v>28.362367396007773</v>
      </c>
    </row>
    <row r="16" spans="1:22" ht="14">
      <c r="A16" s="17">
        <v>27</v>
      </c>
      <c r="B16" s="11">
        <v>27</v>
      </c>
      <c r="C16" s="12">
        <v>46074</v>
      </c>
      <c r="D16" s="11" t="s">
        <v>85</v>
      </c>
      <c r="E16" s="11" t="s">
        <v>25</v>
      </c>
      <c r="F16" s="11">
        <v>68</v>
      </c>
      <c r="G16" s="11">
        <v>63</v>
      </c>
      <c r="H16" s="11">
        <v>55</v>
      </c>
      <c r="I16" s="11">
        <v>17</v>
      </c>
      <c r="J16" s="11">
        <v>12</v>
      </c>
      <c r="K16" s="18">
        <v>10</v>
      </c>
      <c r="M16" s="26">
        <v>127.4</v>
      </c>
      <c r="N16" s="26">
        <v>94.7</v>
      </c>
      <c r="O16" s="26">
        <v>78.120649999999998</v>
      </c>
      <c r="P16" s="10">
        <f>(C24*O16)/B33</f>
        <v>82.076359221025641</v>
      </c>
      <c r="Q16" s="10">
        <f>(((A24*N16)/B31)*P16)/100</f>
        <v>84.051717221434188</v>
      </c>
      <c r="R16" s="10">
        <f>(((M16*B24)/B31)*P16)/100</f>
        <v>84.293784779392411</v>
      </c>
      <c r="S16" s="35">
        <f>(Q16-R16)</f>
        <v>-0.24206755795822232</v>
      </c>
      <c r="T16" s="25" t="s">
        <v>81</v>
      </c>
      <c r="U16" s="35">
        <f>S16-1.036*B29</f>
        <v>-10.489493746164715</v>
      </c>
      <c r="V16" s="35">
        <f>S16+1.036*B29</f>
        <v>10.005358630248271</v>
      </c>
    </row>
    <row r="17" spans="1:22" ht="16">
      <c r="A17" s="17">
        <v>28</v>
      </c>
      <c r="B17" s="13"/>
      <c r="C17" s="12">
        <v>46077</v>
      </c>
      <c r="D17" s="11" t="s">
        <v>43</v>
      </c>
      <c r="E17" s="11" t="s">
        <v>16</v>
      </c>
      <c r="F17" s="13"/>
      <c r="G17" s="13"/>
      <c r="H17" s="13"/>
      <c r="I17" s="13"/>
      <c r="J17" s="13"/>
      <c r="K17" s="19"/>
      <c r="M17" s="26">
        <v>117.4</v>
      </c>
      <c r="N17" s="26">
        <v>111</v>
      </c>
      <c r="O17" s="26">
        <v>71.822000000000003</v>
      </c>
      <c r="P17" s="10">
        <f>(C25*O17)/B28</f>
        <v>66.66598709637681</v>
      </c>
      <c r="Q17" s="10">
        <f>(((M17*B25)/B27)*P17)/100</f>
        <v>60.490459949720226</v>
      </c>
      <c r="R17" s="10">
        <f>(((A25*N17)/B27)*P17)/100</f>
        <v>82.817808633302079</v>
      </c>
      <c r="S17" s="41">
        <f>(Q17-R17)+2.4</f>
        <v>-19.927348683581855</v>
      </c>
      <c r="T17" s="25" t="s">
        <v>81</v>
      </c>
      <c r="U17" s="41">
        <f>S17-1.036*B29</f>
        <v>-30.174774871788347</v>
      </c>
      <c r="V17" s="41">
        <f>S17+1.036*B29</f>
        <v>-9.6799224953753615</v>
      </c>
    </row>
    <row r="18" spans="1:22" ht="16">
      <c r="A18" s="17">
        <v>29</v>
      </c>
      <c r="B18" s="13"/>
      <c r="C18" s="12">
        <v>46081</v>
      </c>
      <c r="D18" s="13"/>
      <c r="E18" s="11" t="s">
        <v>5</v>
      </c>
      <c r="F18" s="13"/>
      <c r="G18" s="13"/>
      <c r="H18" s="13"/>
      <c r="I18" s="13"/>
      <c r="J18" s="13"/>
      <c r="K18" s="19"/>
      <c r="M18" s="26">
        <v>119.6</v>
      </c>
      <c r="N18" s="26">
        <v>97.6</v>
      </c>
      <c r="O18" s="26">
        <v>66.888849999999991</v>
      </c>
      <c r="P18" s="10">
        <f>(C25*O18)/B28</f>
        <v>62.086981857807956</v>
      </c>
      <c r="Q18" s="10">
        <f>(((A25*N18)/B27)*P18)/100</f>
        <v>67.818285841117316</v>
      </c>
      <c r="R18" s="10">
        <f>(((M18*B25)/B27)*P18)/100</f>
        <v>57.391318756679439</v>
      </c>
      <c r="S18" s="41">
        <f>(Q18-R18)+4.5</f>
        <v>14.926967084437877</v>
      </c>
      <c r="T18" s="25" t="s">
        <v>81</v>
      </c>
      <c r="U18" s="41">
        <f>S18-1.036*B29</f>
        <v>4.6795408962313836</v>
      </c>
      <c r="V18" s="41">
        <f>S18+1.036*B29</f>
        <v>25.17439327264437</v>
      </c>
    </row>
    <row r="19" spans="1:22" ht="16">
      <c r="A19" s="17">
        <v>30</v>
      </c>
      <c r="B19" s="13"/>
      <c r="C19" s="12">
        <v>46083</v>
      </c>
      <c r="D19" s="11" t="s">
        <v>43</v>
      </c>
      <c r="E19" s="11" t="s">
        <v>10</v>
      </c>
      <c r="F19" s="13"/>
      <c r="G19" s="13"/>
      <c r="H19" s="13"/>
      <c r="I19" s="13"/>
      <c r="J19" s="13"/>
      <c r="K19" s="19"/>
      <c r="M19" s="26">
        <v>123.9</v>
      </c>
      <c r="N19" s="26">
        <v>102.4</v>
      </c>
      <c r="O19" s="26">
        <v>71.502499999999998</v>
      </c>
      <c r="P19" s="10">
        <f>(C25*O19)/B28</f>
        <v>66.369423607789855</v>
      </c>
      <c r="Q19" s="10">
        <f>(((M19*B25)/B27)*P19)/100</f>
        <v>63.55560076493628</v>
      </c>
      <c r="R19" s="10">
        <f>(((A25*N19)/B27)*P19)/100</f>
        <v>76.061422752670424</v>
      </c>
      <c r="S19" s="41">
        <f>(Q19-R19)+3.8</f>
        <v>-8.7058219877341436</v>
      </c>
      <c r="T19" s="25" t="s">
        <v>81</v>
      </c>
      <c r="U19" s="41">
        <f>S19-1.036*B29</f>
        <v>-18.953248175940637</v>
      </c>
      <c r="V19" s="41">
        <f>S19+1.036*B29</f>
        <v>1.5416042004723494</v>
      </c>
    </row>
    <row r="20" spans="1:22" ht="16">
      <c r="A20" s="20">
        <v>31</v>
      </c>
      <c r="B20" s="21"/>
      <c r="C20" s="22">
        <v>46088</v>
      </c>
      <c r="D20" s="21"/>
      <c r="E20" s="23" t="s">
        <v>18</v>
      </c>
      <c r="F20" s="21"/>
      <c r="G20" s="21"/>
      <c r="H20" s="21"/>
      <c r="I20" s="21"/>
      <c r="J20" s="21"/>
      <c r="K20" s="24"/>
      <c r="M20" s="26">
        <v>121.9</v>
      </c>
      <c r="N20" s="26">
        <v>101.3</v>
      </c>
      <c r="O20" s="26">
        <v>67.448224999999994</v>
      </c>
      <c r="P20" s="10">
        <f>(C25*O20)/B28</f>
        <v>62.606200015643097</v>
      </c>
      <c r="Q20" s="10">
        <f>(((A25*N20)/B27)*P20)/100</f>
        <v>70.977914057113125</v>
      </c>
      <c r="R20" s="10">
        <f>(((M20*B25)/B27)*P20)/100</f>
        <v>58.984177243580923</v>
      </c>
      <c r="S20" s="41">
        <f>(Q20-R20)+4.5</f>
        <v>16.493736813532202</v>
      </c>
      <c r="T20" s="25" t="s">
        <v>81</v>
      </c>
      <c r="U20" s="41">
        <f>S20-1.036*B29</f>
        <v>6.2463106253257088</v>
      </c>
      <c r="V20" s="41">
        <f>S20+1.036*B29</f>
        <v>26.741163001738695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9">
        <v>59.847999999999999</v>
      </c>
      <c r="I21" s="39">
        <v>28.724</v>
      </c>
      <c r="J21" s="39">
        <v>13.284000000000001</v>
      </c>
      <c r="K21" s="39">
        <v>11.497999999999999</v>
      </c>
      <c r="M21" s="32" t="s">
        <v>82</v>
      </c>
    </row>
    <row r="22" spans="1:22">
      <c r="F22" s="26"/>
      <c r="G22" s="26"/>
      <c r="H22" s="34">
        <v>58.530999999999999</v>
      </c>
      <c r="I22" s="34">
        <v>9.8770000000000007</v>
      </c>
      <c r="J22" s="34">
        <v>7.6669999999999998</v>
      </c>
      <c r="K22" s="34">
        <v>8.4909999999999997</v>
      </c>
      <c r="M22" s="30">
        <f>(T2-S2)^2</f>
        <v>311.50584529040276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62.183193314479091</v>
      </c>
    </row>
    <row r="24" spans="1:22">
      <c r="A24" s="7">
        <v>126.9</v>
      </c>
      <c r="B24">
        <v>94.6</v>
      </c>
      <c r="C24">
        <f>H21-J21+K21+(0.475*I21)</f>
        <v>71.7059</v>
      </c>
      <c r="F24" s="26"/>
      <c r="G24" s="26"/>
      <c r="H24" s="26"/>
      <c r="I24" s="26"/>
      <c r="J24" s="26"/>
      <c r="K24" s="26"/>
      <c r="M24" s="30">
        <f t="shared" si="0"/>
        <v>67.671965325308705</v>
      </c>
    </row>
    <row r="25" spans="1:22">
      <c r="A25" s="7">
        <v>129.6</v>
      </c>
      <c r="B25">
        <v>89.5</v>
      </c>
      <c r="C25">
        <f>H22-J22+K22+(0.475*I22)</f>
        <v>64.04657499999999</v>
      </c>
      <c r="F25" s="26"/>
      <c r="G25" s="26"/>
      <c r="H25" s="26"/>
      <c r="I25" s="26"/>
      <c r="J25" s="26"/>
      <c r="K25" s="26"/>
      <c r="M25" s="30">
        <f t="shared" si="0"/>
        <v>36.085418352669585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15.20393041804626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309.51798967415289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8.7744730484183742E-2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409.10309769145255</v>
      </c>
    </row>
    <row r="30" spans="1:22">
      <c r="A30" s="7" t="s">
        <v>90</v>
      </c>
      <c r="B30">
        <v>118.9</v>
      </c>
      <c r="F30" s="26"/>
      <c r="G30" s="26"/>
      <c r="H30" s="26"/>
      <c r="I30" s="26"/>
      <c r="J30" s="26"/>
      <c r="K30" s="26"/>
      <c r="M30" s="31">
        <f>(T10-S10)^2</f>
        <v>30.379376185952413</v>
      </c>
    </row>
    <row r="31" spans="1:22">
      <c r="A31" s="7" t="s">
        <v>94</v>
      </c>
      <c r="B31">
        <f>(B27+B30)/2</f>
        <v>117.35</v>
      </c>
      <c r="F31" s="26"/>
      <c r="G31" s="26"/>
      <c r="H31" s="26"/>
      <c r="I31" s="26"/>
      <c r="J31" s="26"/>
      <c r="K31" s="26"/>
      <c r="M31" s="31">
        <f>(T11-S11)^2</f>
        <v>5.0651823663586555</v>
      </c>
    </row>
    <row r="32" spans="1:22">
      <c r="A32" s="7" t="s">
        <v>91</v>
      </c>
      <c r="B32">
        <v>67.5</v>
      </c>
      <c r="L32" s="33" t="s">
        <v>83</v>
      </c>
      <c r="M32" s="29">
        <f>SUM(M22:M31)</f>
        <v>1246.8037433493068</v>
      </c>
    </row>
    <row r="33" spans="1:2">
      <c r="A33" s="7" t="s">
        <v>95</v>
      </c>
      <c r="B33">
        <f>(B32+B28)/2</f>
        <v>68.25</v>
      </c>
    </row>
    <row r="35" spans="1:2">
      <c r="A35" s="7" t="s">
        <v>98</v>
      </c>
    </row>
  </sheetData>
  <mergeCells count="1">
    <mergeCell ref="A21:B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10F8-2487-B44F-A848-3638C98F5730}">
  <dimension ref="A1:V31"/>
  <sheetViews>
    <sheetView zoomScale="118" workbookViewId="0">
      <pane xSplit="5" topLeftCell="R1" activePane="topRight" state="frozen"/>
      <selection pane="topRight" activeCell="N23" sqref="N23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14</v>
      </c>
      <c r="B2" s="11">
        <v>14</v>
      </c>
      <c r="C2" s="12">
        <v>46021</v>
      </c>
      <c r="D2" s="11" t="s">
        <v>43</v>
      </c>
      <c r="E2" s="11" t="s">
        <v>18</v>
      </c>
      <c r="F2" s="11">
        <v>66</v>
      </c>
      <c r="G2" s="11">
        <v>79</v>
      </c>
      <c r="H2" s="11">
        <v>66</v>
      </c>
      <c r="I2" s="11">
        <v>14</v>
      </c>
      <c r="J2" s="11">
        <v>11</v>
      </c>
      <c r="K2" s="18">
        <v>9</v>
      </c>
      <c r="M2" s="10">
        <v>128.80000000000001</v>
      </c>
      <c r="N2" s="26">
        <v>107</v>
      </c>
      <c r="O2" s="10">
        <v>71.825850000000003</v>
      </c>
      <c r="P2" s="10">
        <f>(C24*O2)/B28</f>
        <v>74.165525016032618</v>
      </c>
      <c r="Q2" s="10">
        <f>(((M2*B24)/B27)*P2)/100</f>
        <v>86.368635961157665</v>
      </c>
      <c r="R2" s="10">
        <f>(((A24*N2)/B27)*P2)/100</f>
        <v>79.836817969547042</v>
      </c>
      <c r="S2" s="10">
        <f>(Q2-R2)+3.7</f>
        <v>10.231817991610622</v>
      </c>
      <c r="T2" s="10">
        <f>G2-F2</f>
        <v>13</v>
      </c>
      <c r="U2" s="10">
        <f>S2-1.036*B29</f>
        <v>-1.5608196595870538E-2</v>
      </c>
      <c r="V2" s="10">
        <f>S2+1.036*B29</f>
        <v>20.479244179817115</v>
      </c>
    </row>
    <row r="3" spans="1:22" ht="16">
      <c r="A3" s="17">
        <v>15</v>
      </c>
      <c r="B3" s="11">
        <v>15</v>
      </c>
      <c r="C3" s="12">
        <v>46025</v>
      </c>
      <c r="D3" s="13"/>
      <c r="E3" s="11" t="s">
        <v>17</v>
      </c>
      <c r="F3" s="11">
        <v>87</v>
      </c>
      <c r="G3" s="11">
        <v>91</v>
      </c>
      <c r="H3" s="11">
        <v>58</v>
      </c>
      <c r="I3" s="11">
        <v>16</v>
      </c>
      <c r="J3" s="11">
        <v>8</v>
      </c>
      <c r="K3" s="18">
        <v>13</v>
      </c>
      <c r="M3" s="10">
        <v>126.9</v>
      </c>
      <c r="N3" s="10">
        <v>94.6</v>
      </c>
      <c r="O3" s="10">
        <v>71.7059</v>
      </c>
      <c r="P3" s="10">
        <f>(C24*O3)/B28</f>
        <v>74.041667731702901</v>
      </c>
      <c r="Q3" s="10">
        <f>(((A24*N3)/B27)*P3)/100</f>
        <v>70.466823480511607</v>
      </c>
      <c r="R3" s="10">
        <f>(((M3*B24)/B27)*P3)/100</f>
        <v>84.952455561358335</v>
      </c>
      <c r="S3" s="10">
        <f>(Q3-R3)+2.6</f>
        <v>-11.885632080846728</v>
      </c>
      <c r="T3" s="10">
        <f>F3-G3</f>
        <v>-4</v>
      </c>
      <c r="U3" s="10">
        <f>S3-1.036*B29</f>
        <v>-22.133058269053222</v>
      </c>
      <c r="V3" s="10">
        <f>S3+1.036*B29</f>
        <v>-1.6382058926402348</v>
      </c>
    </row>
    <row r="4" spans="1:22" ht="16">
      <c r="A4" s="17">
        <v>16</v>
      </c>
      <c r="B4" s="11">
        <v>16</v>
      </c>
      <c r="C4" s="12">
        <v>46032</v>
      </c>
      <c r="D4" s="13"/>
      <c r="E4" s="11" t="s">
        <v>10</v>
      </c>
      <c r="F4" s="11">
        <v>69</v>
      </c>
      <c r="G4" s="11">
        <v>113</v>
      </c>
      <c r="H4" s="11">
        <v>56</v>
      </c>
      <c r="I4" s="11">
        <v>29</v>
      </c>
      <c r="J4" s="11">
        <v>4</v>
      </c>
      <c r="K4" s="18">
        <v>13</v>
      </c>
      <c r="M4" s="10">
        <v>125.2</v>
      </c>
      <c r="N4" s="10">
        <v>100.9</v>
      </c>
      <c r="O4" s="10">
        <v>71.373625000000004</v>
      </c>
      <c r="P4" s="10">
        <f>(C24*O4)/B28</f>
        <v>73.698569114356886</v>
      </c>
      <c r="Q4" s="10">
        <f>(((A24*N4)/B27)*P4)/100</f>
        <v>74.81136659360088</v>
      </c>
      <c r="R4" s="10">
        <f>(((M4*B24)/B27)*P4)/100</f>
        <v>83.426016521709883</v>
      </c>
      <c r="S4" s="10">
        <f>(Q4-R4)+2.6</f>
        <v>-6.0146499281090033</v>
      </c>
      <c r="T4" s="10">
        <f>F4-G4</f>
        <v>-44</v>
      </c>
      <c r="U4" s="10">
        <f>S4-1.036*B29</f>
        <v>-16.262076116315498</v>
      </c>
      <c r="V4" s="10">
        <f>S4+1.036*B29</f>
        <v>4.2327762600974896</v>
      </c>
    </row>
    <row r="5" spans="1:22" ht="14">
      <c r="A5" s="17">
        <v>17</v>
      </c>
      <c r="B5" s="11">
        <v>17</v>
      </c>
      <c r="C5" s="12">
        <v>46035</v>
      </c>
      <c r="D5" s="11" t="s">
        <v>43</v>
      </c>
      <c r="E5" s="11" t="s">
        <v>4</v>
      </c>
      <c r="F5" s="11">
        <v>86</v>
      </c>
      <c r="G5" s="11">
        <v>94</v>
      </c>
      <c r="H5" s="11">
        <v>62</v>
      </c>
      <c r="I5" s="11">
        <v>27</v>
      </c>
      <c r="J5" s="11">
        <v>14</v>
      </c>
      <c r="K5" s="18">
        <v>14</v>
      </c>
      <c r="M5" s="10">
        <v>117.2</v>
      </c>
      <c r="N5" s="10">
        <v>104.5</v>
      </c>
      <c r="O5" s="10">
        <v>69.786749999999998</v>
      </c>
      <c r="P5" s="10">
        <f>(C24*O5)/B28</f>
        <v>72.060002811141288</v>
      </c>
      <c r="Q5" s="10">
        <f>(((M5*B24)/B27)*P5)/100</f>
        <v>76.3589606990557</v>
      </c>
      <c r="R5" s="10">
        <f>(((A24*N5)/B27)*P5)/100</f>
        <v>75.7579006237942</v>
      </c>
      <c r="S5" s="10">
        <f>(Q5-R5)+3.1</f>
        <v>3.7010600752615006</v>
      </c>
      <c r="T5" s="10">
        <f>G5-F5</f>
        <v>8</v>
      </c>
      <c r="U5" s="10">
        <f>S5-1.036*B29</f>
        <v>-6.5463661129449928</v>
      </c>
      <c r="V5" s="10">
        <f>S5+1.036*B29</f>
        <v>13.948486263467993</v>
      </c>
    </row>
    <row r="6" spans="1:22" ht="16">
      <c r="A6" s="17">
        <v>18</v>
      </c>
      <c r="B6" s="11">
        <v>18</v>
      </c>
      <c r="C6" s="12">
        <v>46039</v>
      </c>
      <c r="D6" s="13"/>
      <c r="E6" s="11" t="s">
        <v>8</v>
      </c>
      <c r="F6" s="11">
        <v>68</v>
      </c>
      <c r="G6" s="11">
        <v>69</v>
      </c>
      <c r="H6" s="11">
        <v>58</v>
      </c>
      <c r="I6" s="11">
        <v>19</v>
      </c>
      <c r="J6" s="11">
        <v>14</v>
      </c>
      <c r="K6" s="18">
        <v>16</v>
      </c>
      <c r="M6" s="10">
        <v>114.7</v>
      </c>
      <c r="N6" s="10">
        <v>105.6</v>
      </c>
      <c r="O6" s="10">
        <v>70.806899999999999</v>
      </c>
      <c r="P6" s="10">
        <f>(C24*O6)/B28</f>
        <v>73.113383458152171</v>
      </c>
      <c r="Q6" s="10">
        <f>(((A24*N6)/B27)*P6)/100</f>
        <v>77.674446343313576</v>
      </c>
      <c r="R6" s="10">
        <f>(((M6*B24)/B27)*P6)/100</f>
        <v>75.822556317224596</v>
      </c>
      <c r="S6" s="10">
        <f>(Q6-R6)+2.6</f>
        <v>4.4518900260889804</v>
      </c>
      <c r="T6" s="10">
        <f>F6-G6</f>
        <v>-1</v>
      </c>
      <c r="U6" s="10">
        <f>S6-1.036*B29</f>
        <v>-5.7955361621175125</v>
      </c>
      <c r="V6" s="10">
        <f>S6+1.036*B29</f>
        <v>14.699316214295473</v>
      </c>
    </row>
    <row r="7" spans="1:22" ht="14">
      <c r="A7" s="17">
        <v>19</v>
      </c>
      <c r="B7" s="11">
        <v>19</v>
      </c>
      <c r="C7" s="12">
        <v>46042</v>
      </c>
      <c r="D7" s="11" t="s">
        <v>43</v>
      </c>
      <c r="E7" s="11" t="s">
        <v>46</v>
      </c>
      <c r="F7" s="11">
        <v>65</v>
      </c>
      <c r="G7" s="11">
        <v>63</v>
      </c>
      <c r="H7" s="11">
        <v>53</v>
      </c>
      <c r="I7" s="11">
        <v>15</v>
      </c>
      <c r="J7" s="11">
        <v>4</v>
      </c>
      <c r="K7" s="18">
        <v>11</v>
      </c>
      <c r="M7" s="27">
        <v>119.4</v>
      </c>
      <c r="N7" s="27">
        <v>104.2</v>
      </c>
      <c r="O7" s="27">
        <v>68.519300000000001</v>
      </c>
      <c r="P7" s="10">
        <f>(C24*O7)/B28</f>
        <v>70.751266545833332</v>
      </c>
      <c r="Q7" s="10">
        <f>(((M7*B24)/B27)*P7)/100</f>
        <v>76.37947481152338</v>
      </c>
      <c r="R7" s="10">
        <f>(((A24*N7)/B27)*P7)/100</f>
        <v>74.168467183059988</v>
      </c>
      <c r="S7" s="10">
        <f>(Q7-R7)+3.5</f>
        <v>5.7110076284633919</v>
      </c>
      <c r="T7" s="10">
        <f>G7-F7</f>
        <v>-2</v>
      </c>
      <c r="U7" s="10">
        <f>S7-1.036*B29</f>
        <v>-4.536418559743101</v>
      </c>
      <c r="V7" s="10">
        <f>S7+1.036*B29</f>
        <v>15.958433816669885</v>
      </c>
    </row>
    <row r="8" spans="1:22" ht="14">
      <c r="A8" s="17">
        <v>20</v>
      </c>
      <c r="B8" s="11">
        <v>20</v>
      </c>
      <c r="C8" s="12">
        <v>46046</v>
      </c>
      <c r="D8" s="11" t="s">
        <v>43</v>
      </c>
      <c r="E8" s="11" t="s">
        <v>13</v>
      </c>
      <c r="F8" s="11">
        <v>80</v>
      </c>
      <c r="G8" s="11">
        <v>83</v>
      </c>
      <c r="H8" s="11">
        <v>71</v>
      </c>
      <c r="I8" s="11">
        <v>15</v>
      </c>
      <c r="J8" s="11">
        <v>15</v>
      </c>
      <c r="K8" s="18">
        <v>8</v>
      </c>
      <c r="M8" s="27">
        <v>125.9</v>
      </c>
      <c r="N8" s="27">
        <v>104.5</v>
      </c>
      <c r="O8" s="27">
        <v>70.171149999999997</v>
      </c>
      <c r="P8" s="10">
        <f>(C24*O8)/B28</f>
        <v>72.456924362590584</v>
      </c>
      <c r="Q8" s="10">
        <f>(((M8*B24)/B27)*P8)/100</f>
        <v>82.479068530059706</v>
      </c>
      <c r="R8" s="10">
        <f>(((A24*N8)/B27)*P8)/100</f>
        <v>76.175190969021457</v>
      </c>
      <c r="S8" s="10">
        <f>(Q8-R8)+3.3</f>
        <v>9.6038775610382494</v>
      </c>
      <c r="T8" s="10">
        <f>G8-F8</f>
        <v>3</v>
      </c>
      <c r="U8" s="10">
        <f>S8-1.036*B29</f>
        <v>-0.64354862716824357</v>
      </c>
      <c r="V8" s="10">
        <f>S8+1.036*B29</f>
        <v>19.851303749244742</v>
      </c>
    </row>
    <row r="9" spans="1:22" ht="16">
      <c r="A9" s="17">
        <v>21</v>
      </c>
      <c r="B9" s="11">
        <v>21</v>
      </c>
      <c r="C9" s="12">
        <v>46050</v>
      </c>
      <c r="D9" s="13"/>
      <c r="E9" s="11" t="s">
        <v>20</v>
      </c>
      <c r="F9" s="11">
        <v>63</v>
      </c>
      <c r="G9" s="11">
        <v>61</v>
      </c>
      <c r="H9" s="11">
        <v>63</v>
      </c>
      <c r="I9" s="11">
        <v>21</v>
      </c>
      <c r="J9" s="11">
        <v>11</v>
      </c>
      <c r="K9" s="18">
        <v>6</v>
      </c>
      <c r="M9" s="27">
        <v>114.8</v>
      </c>
      <c r="N9" s="27">
        <v>103</v>
      </c>
      <c r="O9" s="27">
        <v>70.069299999999998</v>
      </c>
      <c r="P9" s="10">
        <f>(C24*O9)/B28</f>
        <v>72.351756672644925</v>
      </c>
      <c r="Q9" s="10">
        <f>(((A24*N9)/B27)*P9)/100</f>
        <v>74.972789654007158</v>
      </c>
      <c r="R9" s="10">
        <f>(((M9*B24)/B27)*P9)/100</f>
        <v>75.098124389659418</v>
      </c>
      <c r="S9" s="10">
        <f>(Q9-R9)+2.6</f>
        <v>2.4746652643477405</v>
      </c>
      <c r="T9" s="10">
        <f>F9-G9</f>
        <v>2</v>
      </c>
      <c r="U9" s="10">
        <f>S9-1.036*B29</f>
        <v>-7.7727609238587529</v>
      </c>
      <c r="V9" s="10">
        <f>S9+1.036*B29</f>
        <v>12.722091452554233</v>
      </c>
    </row>
    <row r="10" spans="1:22" ht="16">
      <c r="A10" s="17">
        <v>22</v>
      </c>
      <c r="B10" s="11">
        <v>22</v>
      </c>
      <c r="C10" s="12">
        <v>46053</v>
      </c>
      <c r="D10" s="13"/>
      <c r="E10" s="11" t="s">
        <v>22</v>
      </c>
      <c r="F10" s="11">
        <v>88</v>
      </c>
      <c r="G10" s="11">
        <v>80</v>
      </c>
      <c r="H10" s="11">
        <v>53</v>
      </c>
      <c r="I10" s="11">
        <v>29</v>
      </c>
      <c r="J10" s="11">
        <v>6</v>
      </c>
      <c r="K10" s="18">
        <v>9</v>
      </c>
      <c r="M10" s="27">
        <v>111.6</v>
      </c>
      <c r="N10" s="27">
        <v>103.8</v>
      </c>
      <c r="O10" s="27">
        <v>62.672174999999996</v>
      </c>
      <c r="P10" s="10">
        <f>(C24*O10)/B28</f>
        <v>64.713675686005431</v>
      </c>
      <c r="Q10" s="10">
        <f>(((A24*N10)/B27)*P10)/100</f>
        <v>67.578848529201892</v>
      </c>
      <c r="R10" s="10">
        <f>(((M10*B24)/B27)*P10)/100</f>
        <v>65.297775287274973</v>
      </c>
      <c r="S10" s="10">
        <f>(Q10-R10)+2.6</f>
        <v>4.8810732419269183</v>
      </c>
      <c r="T10" s="10">
        <f>F10-G10</f>
        <v>8</v>
      </c>
      <c r="U10" s="10">
        <f>S10-1.036*B29</f>
        <v>-5.3663529462795747</v>
      </c>
      <c r="V10" s="10">
        <f>S10+1.036*B29</f>
        <v>15.128499430133411</v>
      </c>
    </row>
    <row r="11" spans="1:22" ht="14">
      <c r="A11" s="17">
        <v>23</v>
      </c>
      <c r="B11" s="11">
        <v>23</v>
      </c>
      <c r="C11" s="12">
        <v>46060</v>
      </c>
      <c r="D11" s="11" t="s">
        <v>43</v>
      </c>
      <c r="E11" s="11" t="s">
        <v>16</v>
      </c>
      <c r="F11" s="11">
        <v>82</v>
      </c>
      <c r="G11" s="11">
        <v>79</v>
      </c>
      <c r="H11" s="11">
        <v>65</v>
      </c>
      <c r="I11" s="11">
        <v>22</v>
      </c>
      <c r="J11" s="11">
        <v>8</v>
      </c>
      <c r="K11" s="18">
        <v>4</v>
      </c>
      <c r="M11" s="26">
        <v>113.1</v>
      </c>
      <c r="N11" s="26">
        <v>105.6</v>
      </c>
      <c r="O11" s="26">
        <v>64.468800000000002</v>
      </c>
      <c r="P11" s="10">
        <f>(C24*O11)/B28</f>
        <v>66.568824443478263</v>
      </c>
      <c r="Q11" s="10">
        <f>(((M11*B24)/B27)*P11)/100</f>
        <v>68.072486568666577</v>
      </c>
      <c r="R11" s="10">
        <f>(((A24*N11)/B27)*P11)/100</f>
        <v>70.721615356947055</v>
      </c>
      <c r="S11" s="35">
        <f>(Q11-R11)+2.4</f>
        <v>-0.24912878828047846</v>
      </c>
      <c r="T11" s="25" t="s">
        <v>81</v>
      </c>
      <c r="U11" s="35">
        <f>S11-1.036*B29</f>
        <v>-10.496554976486971</v>
      </c>
      <c r="V11" s="35">
        <f>S11+1.036*B29</f>
        <v>9.998297399926015</v>
      </c>
    </row>
    <row r="12" spans="1:22" ht="16">
      <c r="A12" s="17">
        <v>24</v>
      </c>
      <c r="B12" s="11">
        <v>24</v>
      </c>
      <c r="C12" s="12">
        <v>46063</v>
      </c>
      <c r="D12" s="13"/>
      <c r="E12" s="11" t="s">
        <v>5</v>
      </c>
      <c r="F12" s="11">
        <v>58</v>
      </c>
      <c r="G12" s="11">
        <v>61</v>
      </c>
      <c r="H12" s="11">
        <v>62</v>
      </c>
      <c r="I12" s="11">
        <v>22</v>
      </c>
      <c r="J12" s="11">
        <v>9</v>
      </c>
      <c r="K12" s="18">
        <v>8</v>
      </c>
      <c r="M12" s="26">
        <v>121.8</v>
      </c>
      <c r="N12" s="26">
        <v>94.7</v>
      </c>
      <c r="O12" s="26">
        <v>66.483699999999999</v>
      </c>
      <c r="P12" s="10">
        <f>(C24*O12)/B28</f>
        <v>68.6493583509058</v>
      </c>
      <c r="Q12" s="10">
        <f>(((A24*N12)/B27)*P12)/100</f>
        <v>65.403927329385652</v>
      </c>
      <c r="R12" s="10">
        <f>(((M12*B24)/B27)*P12)/100</f>
        <v>75.600016959895697</v>
      </c>
      <c r="S12" s="35">
        <f>(Q12-R12)+2.6</f>
        <v>-7.5960896305100452</v>
      </c>
      <c r="T12" s="25" t="s">
        <v>81</v>
      </c>
      <c r="U12" s="35">
        <f>S12-1.036*B29</f>
        <v>-17.84351581871654</v>
      </c>
      <c r="V12" s="35">
        <f>S12+1.036*B29</f>
        <v>2.6513365576964478</v>
      </c>
    </row>
    <row r="13" spans="1:22" ht="14">
      <c r="A13" s="17">
        <v>25</v>
      </c>
      <c r="B13" s="11">
        <v>25</v>
      </c>
      <c r="C13" s="12">
        <v>46067</v>
      </c>
      <c r="D13" s="11" t="s">
        <v>43</v>
      </c>
      <c r="E13" s="11" t="s">
        <v>9</v>
      </c>
      <c r="F13" s="11">
        <v>92</v>
      </c>
      <c r="G13" s="11">
        <v>69</v>
      </c>
      <c r="H13" s="11">
        <v>55</v>
      </c>
      <c r="I13" s="11">
        <v>17</v>
      </c>
      <c r="J13" s="11">
        <v>4</v>
      </c>
      <c r="K13" s="18">
        <v>4</v>
      </c>
      <c r="M13" s="26">
        <v>115.3</v>
      </c>
      <c r="N13" s="26">
        <v>100.9</v>
      </c>
      <c r="O13" s="26">
        <v>68.663174999999995</v>
      </c>
      <c r="P13" s="10">
        <f>(C24*O13)/B28</f>
        <v>70.899828169701081</v>
      </c>
      <c r="Q13" s="10">
        <f>(((M13*B24)/B27)*P13)/100</f>
        <v>73.911601440422814</v>
      </c>
      <c r="R13" s="10">
        <f>(((A24*N13)/B27)*P13)/100</f>
        <v>71.970366594180561</v>
      </c>
      <c r="S13" s="35">
        <f>(Q13-R13)+3.2</f>
        <v>5.141234846242253</v>
      </c>
      <c r="T13" s="25" t="s">
        <v>81</v>
      </c>
      <c r="U13" s="35">
        <f>S13-1.036*B29</f>
        <v>-5.10619134196424</v>
      </c>
      <c r="V13" s="35">
        <f>S13+1.036*B29</f>
        <v>15.388661034448745</v>
      </c>
    </row>
    <row r="14" spans="1:22" ht="16">
      <c r="A14" s="17">
        <v>26</v>
      </c>
      <c r="B14" s="11">
        <v>26</v>
      </c>
      <c r="C14" s="12">
        <v>46070</v>
      </c>
      <c r="D14" s="13"/>
      <c r="E14" s="11" t="s">
        <v>12</v>
      </c>
      <c r="F14" s="11">
        <v>80</v>
      </c>
      <c r="G14" s="11">
        <v>72</v>
      </c>
      <c r="H14" s="11">
        <v>51</v>
      </c>
      <c r="I14" s="11">
        <v>35</v>
      </c>
      <c r="J14" s="11">
        <v>9</v>
      </c>
      <c r="K14" s="18">
        <v>8</v>
      </c>
      <c r="M14" s="26">
        <v>103.6</v>
      </c>
      <c r="N14" s="26">
        <v>97.3</v>
      </c>
      <c r="O14" s="26">
        <v>68.913325</v>
      </c>
      <c r="P14" s="10">
        <f>(C24*O14)/B28</f>
        <v>71.158126624682978</v>
      </c>
      <c r="Q14" s="10">
        <f>(((A24*N14)/B27)*P14)/100</f>
        <v>69.655387430722158</v>
      </c>
      <c r="R14" s="10">
        <f>(((M14*B24)/B27)*P14)/100</f>
        <v>66.65341164488828</v>
      </c>
      <c r="S14" s="35">
        <f>(Q14-R14)+2.6</f>
        <v>5.6019757858338775</v>
      </c>
      <c r="T14" s="25" t="s">
        <v>81</v>
      </c>
      <c r="U14" s="35">
        <f>S14-1.036*B29</f>
        <v>-4.6454504023726155</v>
      </c>
      <c r="V14" s="35">
        <f>S14+1.036*B29</f>
        <v>15.84940197404037</v>
      </c>
    </row>
    <row r="15" spans="1:22" ht="14">
      <c r="A15" s="17">
        <v>27</v>
      </c>
      <c r="B15" s="11">
        <v>27</v>
      </c>
      <c r="C15" s="12">
        <v>46074</v>
      </c>
      <c r="D15" s="11" t="s">
        <v>43</v>
      </c>
      <c r="E15" s="11" t="s">
        <v>19</v>
      </c>
      <c r="F15" s="11">
        <v>70</v>
      </c>
      <c r="G15" s="11">
        <v>65</v>
      </c>
      <c r="H15" s="11">
        <v>46</v>
      </c>
      <c r="I15" s="11">
        <v>16</v>
      </c>
      <c r="J15" s="11">
        <v>3</v>
      </c>
      <c r="K15" s="18">
        <v>9</v>
      </c>
      <c r="M15" s="26">
        <v>115.4</v>
      </c>
      <c r="N15" s="26">
        <v>91.8</v>
      </c>
      <c r="O15" s="26">
        <v>65.54495</v>
      </c>
      <c r="P15" s="10">
        <f>(C24*O15)/B28</f>
        <v>67.680029249909424</v>
      </c>
      <c r="Q15" s="10">
        <f>(((M15*B24)/B27)*P15)/100</f>
        <v>70.616220363430116</v>
      </c>
      <c r="R15" s="10">
        <f>(((A24*N15)/B27)*P15)/100</f>
        <v>62.50583841269485</v>
      </c>
      <c r="S15" s="35">
        <f>(Q15-R15)+4</f>
        <v>12.110381950735267</v>
      </c>
      <c r="T15" s="25" t="s">
        <v>81</v>
      </c>
      <c r="U15" s="35">
        <f>S15-1.036*B29</f>
        <v>1.8629557625287738</v>
      </c>
      <c r="V15" s="35">
        <f>S15+1.036*B29</f>
        <v>22.35780813894176</v>
      </c>
    </row>
    <row r="16" spans="1:22" ht="16">
      <c r="A16" s="17">
        <v>28</v>
      </c>
      <c r="B16" s="13"/>
      <c r="C16" s="12">
        <v>46077</v>
      </c>
      <c r="D16" s="13"/>
      <c r="E16" s="11" t="s">
        <v>46</v>
      </c>
      <c r="F16" s="13"/>
      <c r="G16" s="13"/>
      <c r="H16" s="13"/>
      <c r="I16" s="13"/>
      <c r="J16" s="13"/>
      <c r="K16" s="19"/>
      <c r="M16" s="26">
        <v>120.1</v>
      </c>
      <c r="N16" s="26">
        <v>102.6</v>
      </c>
      <c r="O16" s="26">
        <v>69.528774999999996</v>
      </c>
      <c r="P16" s="10">
        <f>(C25*O16)/B28</f>
        <v>69.474335984501806</v>
      </c>
      <c r="Q16" s="10">
        <f>(((A25*N16)/B27)*P16)/100</f>
        <v>72.634878315817474</v>
      </c>
      <c r="R16" s="10">
        <f>(((M16*B25)/B27)*P16)/100</f>
        <v>71.261530280393274</v>
      </c>
      <c r="S16" s="41">
        <f>(Q16-R16)+2.6</f>
        <v>3.9733480354242006</v>
      </c>
      <c r="T16" s="25" t="s">
        <v>81</v>
      </c>
      <c r="U16" s="41">
        <f>S16-1.036*B29</f>
        <v>-6.2740781527822929</v>
      </c>
      <c r="V16" s="41">
        <f>S16+1.036*B29</f>
        <v>14.220774223630693</v>
      </c>
    </row>
    <row r="17" spans="1:22" ht="16">
      <c r="A17" s="17">
        <v>29</v>
      </c>
      <c r="B17" s="13"/>
      <c r="C17" s="12">
        <v>46081</v>
      </c>
      <c r="D17" s="11" t="s">
        <v>43</v>
      </c>
      <c r="E17" s="11" t="s">
        <v>21</v>
      </c>
      <c r="F17" s="13"/>
      <c r="G17" s="13"/>
      <c r="H17" s="13"/>
      <c r="I17" s="13"/>
      <c r="J17" s="13"/>
      <c r="K17" s="19"/>
      <c r="M17" s="26">
        <v>107.6</v>
      </c>
      <c r="N17" s="26">
        <v>109.3</v>
      </c>
      <c r="O17" s="26">
        <v>74.495924999999986</v>
      </c>
      <c r="P17" s="10">
        <f>(C25*O17)/B28</f>
        <v>74.437596850027163</v>
      </c>
      <c r="Q17" s="10">
        <f>(((M17*B25)/B27)*P17)/100</f>
        <v>68.40570882064965</v>
      </c>
      <c r="R17" s="10">
        <f>(((A25*N17)/B27)*P17)/100</f>
        <v>82.905998412222829</v>
      </c>
      <c r="S17" s="41">
        <f>(Q17-R17)+2.4</f>
        <v>-12.100289591573178</v>
      </c>
      <c r="T17" s="25" t="s">
        <v>81</v>
      </c>
      <c r="U17" s="41">
        <f>S17-1.036*B29</f>
        <v>-22.347715779779669</v>
      </c>
      <c r="V17" s="41">
        <f>S17+1.036*B29</f>
        <v>-1.8528634033666851</v>
      </c>
    </row>
    <row r="18" spans="1:22" ht="16">
      <c r="A18" s="17">
        <v>30</v>
      </c>
      <c r="B18" s="13"/>
      <c r="C18" s="12">
        <v>46085</v>
      </c>
      <c r="D18" s="11" t="s">
        <v>43</v>
      </c>
      <c r="E18" s="11" t="s">
        <v>48</v>
      </c>
      <c r="F18" s="13"/>
      <c r="G18" s="13"/>
      <c r="H18" s="13"/>
      <c r="I18" s="13"/>
      <c r="J18" s="13"/>
      <c r="K18" s="19"/>
      <c r="M18" s="26">
        <v>107</v>
      </c>
      <c r="N18" s="26">
        <v>106.9</v>
      </c>
      <c r="O18" s="26">
        <v>67.884900000000002</v>
      </c>
      <c r="P18" s="10">
        <f>(C25*O18)/B28</f>
        <v>67.831748090978266</v>
      </c>
      <c r="Q18" s="10">
        <f>(((M18*B25)/B27)*P18)/100</f>
        <v>61.987556806835876</v>
      </c>
      <c r="R18" s="10">
        <f>(((A25*N18)/B27)*P18)/100</f>
        <v>73.88974410787722</v>
      </c>
      <c r="S18" s="41">
        <f>(Q18-R18)+2.7</f>
        <v>-9.2021873010413451</v>
      </c>
      <c r="T18" s="25" t="s">
        <v>81</v>
      </c>
      <c r="U18" s="41">
        <f>S18-1.036*B29</f>
        <v>-19.449613489247838</v>
      </c>
      <c r="V18" s="41">
        <f>S18+1.036*B29</f>
        <v>1.0452388871651479</v>
      </c>
    </row>
    <row r="19" spans="1:22" ht="16">
      <c r="A19" s="20">
        <v>31</v>
      </c>
      <c r="B19" s="21"/>
      <c r="C19" s="22">
        <v>46088</v>
      </c>
      <c r="D19" s="21"/>
      <c r="E19" s="23" t="s">
        <v>13</v>
      </c>
      <c r="F19" s="21"/>
      <c r="G19" s="21"/>
      <c r="H19" s="21"/>
      <c r="I19" s="21"/>
      <c r="J19" s="21"/>
      <c r="K19" s="24"/>
      <c r="M19" s="26">
        <v>129.19999999999999</v>
      </c>
      <c r="N19" s="26">
        <v>106.2</v>
      </c>
      <c r="O19" s="26">
        <v>68.590074999999999</v>
      </c>
      <c r="P19" s="10">
        <f>(C25*O19)/B28</f>
        <v>68.536370959393111</v>
      </c>
      <c r="Q19" s="10">
        <f>(((A25*N19)/B27)*P19)/100</f>
        <v>74.168427142895581</v>
      </c>
      <c r="R19" s="10">
        <f>(((M19*B25)/B27)*P19)/100</f>
        <v>75.626038320778065</v>
      </c>
      <c r="S19" s="41">
        <f>(Q19-R19)+2.6</f>
        <v>1.1423888221175162</v>
      </c>
      <c r="T19" s="25" t="s">
        <v>81</v>
      </c>
      <c r="U19" s="41">
        <f>S19-1.036*B29</f>
        <v>-9.1050373660889772</v>
      </c>
      <c r="V19" s="41">
        <f>S19+1.036*B29</f>
        <v>11.389815010324009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62.466000000000001</v>
      </c>
      <c r="I21" s="34">
        <v>17.675000000000001</v>
      </c>
      <c r="J21" s="34">
        <v>10.225</v>
      </c>
      <c r="K21" s="34">
        <v>10.611000000000001</v>
      </c>
      <c r="M21" s="32" t="s">
        <v>82</v>
      </c>
    </row>
    <row r="22" spans="1:22">
      <c r="F22" s="26"/>
      <c r="G22" s="26"/>
      <c r="H22" s="34">
        <v>60.289000000000001</v>
      </c>
      <c r="I22" s="34">
        <v>22.341000000000001</v>
      </c>
      <c r="J22" s="34">
        <v>7.375</v>
      </c>
      <c r="K22" s="34">
        <v>5.42</v>
      </c>
      <c r="M22" s="30">
        <f>(T2-S2)^2</f>
        <v>7.662831631570648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62.183193314479091</v>
      </c>
    </row>
    <row r="24" spans="1:22">
      <c r="A24" s="7">
        <v>116.5</v>
      </c>
      <c r="B24">
        <v>104.7</v>
      </c>
      <c r="C24">
        <f>H21-J21+K21+(0.475*I21)</f>
        <v>71.247624999999999</v>
      </c>
      <c r="F24" s="26"/>
      <c r="G24" s="26"/>
      <c r="H24" s="26"/>
      <c r="I24" s="26"/>
      <c r="J24" s="26"/>
      <c r="K24" s="26"/>
      <c r="M24" s="30">
        <f t="shared" si="0"/>
        <v>1442.8868200841096</v>
      </c>
    </row>
    <row r="25" spans="1:22">
      <c r="A25" s="7">
        <v>118</v>
      </c>
      <c r="B25">
        <v>98.9</v>
      </c>
      <c r="C25">
        <f>H22-J22+K22+(0.475*I22)</f>
        <v>68.945975000000004</v>
      </c>
      <c r="F25" s="26"/>
      <c r="G25" s="26"/>
      <c r="H25" s="26"/>
      <c r="I25" s="26"/>
      <c r="J25" s="26"/>
      <c r="K25" s="26"/>
      <c r="M25" s="30">
        <f t="shared" si="0"/>
        <v>18.48088447651066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29.723104856568504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59.459638646220625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43.611198841184496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0.22530711317831034</v>
      </c>
    </row>
    <row r="30" spans="1:22">
      <c r="F30" s="26"/>
      <c r="G30" s="26"/>
      <c r="H30" s="26"/>
      <c r="I30" s="26"/>
      <c r="J30" s="26"/>
      <c r="K30" s="26"/>
      <c r="M30" s="31">
        <f>(T10-S10)^2</f>
        <v>9.7277041222242637</v>
      </c>
    </row>
    <row r="31" spans="1:22">
      <c r="F31" s="26"/>
      <c r="G31" s="26"/>
      <c r="H31" s="26"/>
      <c r="I31" s="26"/>
      <c r="J31" s="26"/>
      <c r="K31" s="26"/>
      <c r="L31" s="33" t="s">
        <v>83</v>
      </c>
      <c r="M31" s="29">
        <f>SUM(M22:M30)</f>
        <v>1673.9606830860459</v>
      </c>
    </row>
  </sheetData>
  <mergeCells count="1">
    <mergeCell ref="A21:B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D33-8220-0F46-9CFA-61BBEE0C7D7C}">
  <dimension ref="A1:V32"/>
  <sheetViews>
    <sheetView zoomScale="115" workbookViewId="0">
      <pane xSplit="5" topLeftCell="R1" activePane="topRight" state="frozen"/>
      <selection pane="topRight" activeCell="G29" sqref="G29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14</v>
      </c>
      <c r="B2" s="11">
        <v>14</v>
      </c>
      <c r="C2" s="12">
        <v>46022</v>
      </c>
      <c r="D2" s="11" t="s">
        <v>43</v>
      </c>
      <c r="E2" s="11" t="s">
        <v>17</v>
      </c>
      <c r="F2" s="11">
        <v>79</v>
      </c>
      <c r="G2" s="11">
        <v>85</v>
      </c>
      <c r="H2" s="11">
        <v>54</v>
      </c>
      <c r="I2" s="11">
        <v>13</v>
      </c>
      <c r="J2" s="11">
        <v>4</v>
      </c>
      <c r="K2" s="18">
        <v>16</v>
      </c>
      <c r="M2" s="10">
        <v>126.9</v>
      </c>
      <c r="N2" s="26">
        <v>94.6</v>
      </c>
      <c r="O2" s="10">
        <v>71.7059</v>
      </c>
      <c r="P2" s="10">
        <f>(C24*O2)/B28</f>
        <v>75.255471951992746</v>
      </c>
      <c r="Q2" s="10">
        <f>(((M2*B24)/B27)*P2)/100</f>
        <v>86.345126097332908</v>
      </c>
      <c r="R2" s="10">
        <f>(((A24*N2)/B27)*P2)/100</f>
        <v>67.195597908443474</v>
      </c>
      <c r="S2" s="10">
        <f>(Q2-R2)+4.5</f>
        <v>23.649528188889434</v>
      </c>
      <c r="T2" s="10">
        <f>G2-F2</f>
        <v>6</v>
      </c>
      <c r="U2" s="10">
        <f>S2-1.036*B29</f>
        <v>13.402102000682941</v>
      </c>
      <c r="V2" s="10">
        <f>S2+1.036*B29</f>
        <v>33.896954377095923</v>
      </c>
    </row>
    <row r="3" spans="1:22" ht="16">
      <c r="A3" s="17">
        <v>15</v>
      </c>
      <c r="B3" s="11">
        <v>15</v>
      </c>
      <c r="C3" s="12">
        <v>46025</v>
      </c>
      <c r="D3" s="13"/>
      <c r="E3" s="11" t="s">
        <v>12</v>
      </c>
      <c r="F3" s="11">
        <v>65</v>
      </c>
      <c r="G3" s="11">
        <v>53</v>
      </c>
      <c r="H3" s="11">
        <v>53</v>
      </c>
      <c r="I3" s="11">
        <v>29</v>
      </c>
      <c r="J3" s="11">
        <v>8</v>
      </c>
      <c r="K3" s="18">
        <v>13</v>
      </c>
      <c r="M3" s="10">
        <v>103.6</v>
      </c>
      <c r="N3" s="10">
        <v>97.3</v>
      </c>
      <c r="O3" s="10">
        <v>68.913325</v>
      </c>
      <c r="P3" s="10">
        <f>(C24*O3)/B28</f>
        <v>72.324659430480068</v>
      </c>
      <c r="Q3" s="10">
        <f>(((A24*N3)/B27)*P3)/100</f>
        <v>66.421830512143202</v>
      </c>
      <c r="R3" s="10">
        <f>(((M3*B24)/B27)*P3)/100</f>
        <v>67.746096275445836</v>
      </c>
      <c r="S3" s="10">
        <f>(Q3-R3)+2.4</f>
        <v>1.0757342366973659</v>
      </c>
      <c r="T3" s="10">
        <f>F3-G3</f>
        <v>12</v>
      </c>
      <c r="U3" s="10">
        <f>S3-1.036*B29</f>
        <v>-9.1716919515091266</v>
      </c>
      <c r="V3" s="10">
        <f>S3+1.036*B29</f>
        <v>11.323160424903859</v>
      </c>
    </row>
    <row r="4" spans="1:22" ht="16">
      <c r="A4" s="17">
        <v>16</v>
      </c>
      <c r="B4" s="11">
        <v>16</v>
      </c>
      <c r="C4" s="12">
        <v>46028</v>
      </c>
      <c r="D4" s="13"/>
      <c r="E4" s="11" t="s">
        <v>4</v>
      </c>
      <c r="F4" s="11">
        <v>72</v>
      </c>
      <c r="G4" s="11">
        <v>82</v>
      </c>
      <c r="H4" s="11">
        <v>64</v>
      </c>
      <c r="I4" s="11">
        <v>26</v>
      </c>
      <c r="J4" s="11">
        <v>9</v>
      </c>
      <c r="K4" s="18">
        <v>9</v>
      </c>
      <c r="M4" s="10">
        <v>117.2</v>
      </c>
      <c r="N4" s="10">
        <v>104.5</v>
      </c>
      <c r="O4" s="10">
        <v>69.786749999999998</v>
      </c>
      <c r="P4" s="10">
        <f>(C24*O4)/B28</f>
        <v>73.241320550271737</v>
      </c>
      <c r="Q4" s="10">
        <f>(((A24*N4)/B27)*P4)/100</f>
        <v>72.241051565381809</v>
      </c>
      <c r="R4" s="10">
        <f>(((M4*B24)/B27)*P4)/100</f>
        <v>77.610753528592099</v>
      </c>
      <c r="S4" s="10">
        <f>(Q4-R4)+2.4</f>
        <v>-2.9697019632102895</v>
      </c>
      <c r="T4" s="10">
        <f>F4-G4</f>
        <v>-10</v>
      </c>
      <c r="U4" s="10">
        <f>S4-1.036*B29</f>
        <v>-13.217128151416782</v>
      </c>
      <c r="V4" s="10">
        <f>S4+1.036*B29</f>
        <v>7.277724224996204</v>
      </c>
    </row>
    <row r="5" spans="1:22" ht="14">
      <c r="A5" s="17">
        <v>17</v>
      </c>
      <c r="B5" s="11">
        <v>17</v>
      </c>
      <c r="C5" s="12">
        <v>46032</v>
      </c>
      <c r="D5" s="11" t="s">
        <v>43</v>
      </c>
      <c r="E5" s="11" t="s">
        <v>46</v>
      </c>
      <c r="F5" s="11">
        <v>81</v>
      </c>
      <c r="G5" s="11">
        <v>91</v>
      </c>
      <c r="H5" s="11">
        <v>57</v>
      </c>
      <c r="I5" s="11">
        <v>27</v>
      </c>
      <c r="J5" s="11">
        <v>8</v>
      </c>
      <c r="K5" s="18">
        <v>13</v>
      </c>
      <c r="M5" s="10">
        <v>119.4</v>
      </c>
      <c r="N5" s="10">
        <v>104.2</v>
      </c>
      <c r="O5" s="10">
        <v>68.519300000000001</v>
      </c>
      <c r="P5" s="10">
        <f>(C24*O5)/B28</f>
        <v>71.911129479166661</v>
      </c>
      <c r="Q5" s="10">
        <f>(((M5*B24)/B27)*P5)/100</f>
        <v>77.631603939755507</v>
      </c>
      <c r="R5" s="10">
        <f>(((A24*N5)/B27)*P5)/100</f>
        <v>70.72540313523298</v>
      </c>
      <c r="S5" s="10">
        <f>(Q5-R5)+3.5</f>
        <v>10.406200804522527</v>
      </c>
      <c r="T5" s="10">
        <f>G5-F5</f>
        <v>10</v>
      </c>
      <c r="U5" s="10">
        <f>S5-1.036*B29</f>
        <v>0.15877461631603396</v>
      </c>
      <c r="V5" s="10">
        <f>S5+1.036*B29</f>
        <v>20.65362699272902</v>
      </c>
    </row>
    <row r="6" spans="1:22" ht="16">
      <c r="A6" s="17">
        <v>18</v>
      </c>
      <c r="B6" s="11">
        <v>18</v>
      </c>
      <c r="C6" s="12">
        <v>46036</v>
      </c>
      <c r="D6" s="13"/>
      <c r="E6" s="11" t="s">
        <v>48</v>
      </c>
      <c r="F6" s="11">
        <v>66</v>
      </c>
      <c r="G6" s="11">
        <v>89</v>
      </c>
      <c r="H6" s="11">
        <v>60</v>
      </c>
      <c r="I6" s="11">
        <v>15</v>
      </c>
      <c r="J6" s="11">
        <v>11</v>
      </c>
      <c r="K6" s="18">
        <v>15</v>
      </c>
      <c r="M6" s="10">
        <v>111.6</v>
      </c>
      <c r="N6" s="10">
        <v>107.1</v>
      </c>
      <c r="O6" s="10">
        <v>66.7727</v>
      </c>
      <c r="P6" s="10">
        <f>(C24*O6)/B28</f>
        <v>70.078069615036213</v>
      </c>
      <c r="Q6" s="10">
        <f>(((A24*N6)/B27)*P6)/100</f>
        <v>70.840758657659947</v>
      </c>
      <c r="R6" s="10">
        <f>(((M6*B24)/B27)*P6)/100</f>
        <v>70.710587735603028</v>
      </c>
      <c r="S6" s="10">
        <f>(Q6-R6)+2.4</f>
        <v>2.5301709220569193</v>
      </c>
      <c r="T6" s="10">
        <f>F6-G6</f>
        <v>-23</v>
      </c>
      <c r="U6" s="10">
        <f>S6-1.036*B29</f>
        <v>-7.7172552661495732</v>
      </c>
      <c r="V6" s="10">
        <f>S6+1.036*B29</f>
        <v>12.777597110263413</v>
      </c>
    </row>
    <row r="7" spans="1:22" ht="14">
      <c r="A7" s="17">
        <v>19</v>
      </c>
      <c r="B7" s="11">
        <v>19</v>
      </c>
      <c r="C7" s="12">
        <v>46039</v>
      </c>
      <c r="D7" s="11" t="s">
        <v>43</v>
      </c>
      <c r="E7" s="11" t="s">
        <v>10</v>
      </c>
      <c r="F7" s="11">
        <v>78</v>
      </c>
      <c r="G7" s="11">
        <v>74</v>
      </c>
      <c r="H7" s="11">
        <v>52</v>
      </c>
      <c r="I7" s="11">
        <v>28</v>
      </c>
      <c r="J7" s="11">
        <v>6</v>
      </c>
      <c r="K7" s="18">
        <v>16</v>
      </c>
      <c r="M7" s="27">
        <v>125.2</v>
      </c>
      <c r="N7" s="27">
        <v>100.9</v>
      </c>
      <c r="O7" s="27">
        <v>71.373625000000004</v>
      </c>
      <c r="P7" s="10">
        <f>(C24*O7)/B28</f>
        <v>74.906748737545286</v>
      </c>
      <c r="Q7" s="10">
        <f>(((M7*B24)/B27)*P7)/100</f>
        <v>84.79366333516306</v>
      </c>
      <c r="R7" s="10">
        <f>(((A24*N7)/B27)*P7)/100</f>
        <v>71.338457735292081</v>
      </c>
      <c r="S7" s="10">
        <f>(Q7-R7)+3.8</f>
        <v>17.25520559987098</v>
      </c>
      <c r="T7" s="10">
        <f>G7-F7</f>
        <v>-4</v>
      </c>
      <c r="U7" s="10">
        <f>S7-1.036*B29</f>
        <v>7.0077794116644867</v>
      </c>
      <c r="V7" s="10">
        <f>S7+1.036*B29</f>
        <v>27.502631788077473</v>
      </c>
    </row>
    <row r="8" spans="1:22" ht="16">
      <c r="A8" s="17">
        <v>20</v>
      </c>
      <c r="B8" s="11">
        <v>20</v>
      </c>
      <c r="C8" s="12">
        <v>46046</v>
      </c>
      <c r="D8" s="13"/>
      <c r="E8" s="11" t="s">
        <v>19</v>
      </c>
      <c r="F8" s="11">
        <v>63</v>
      </c>
      <c r="G8" s="11">
        <v>77</v>
      </c>
      <c r="H8" s="11">
        <v>57</v>
      </c>
      <c r="I8" s="11">
        <v>17</v>
      </c>
      <c r="J8" s="11">
        <v>9</v>
      </c>
      <c r="K8" s="18">
        <v>9</v>
      </c>
      <c r="M8" s="27">
        <v>115.4</v>
      </c>
      <c r="N8" s="27">
        <v>91.8</v>
      </c>
      <c r="O8" s="27">
        <v>65.54495</v>
      </c>
      <c r="P8" s="10">
        <f>(C24*O8)/B28</f>
        <v>68.789543765851434</v>
      </c>
      <c r="Q8" s="10">
        <f>(((A24*N8)/B27)*P8)/100</f>
        <v>59.604179349324198</v>
      </c>
      <c r="R8" s="10">
        <f>(((M8*B24)/B27)*P8)/100</f>
        <v>71.773869413268415</v>
      </c>
      <c r="S8" s="10">
        <f>(Q8-R8)+2.4</f>
        <v>-9.7696900639442159</v>
      </c>
      <c r="T8" s="10">
        <f>F8-G8</f>
        <v>-14</v>
      </c>
      <c r="U8" s="10">
        <f>S8-1.036*B29</f>
        <v>-20.017116252150707</v>
      </c>
      <c r="V8" s="10">
        <f>S8+1.036*B29</f>
        <v>0.47773612426227707</v>
      </c>
    </row>
    <row r="9" spans="1:22" ht="14">
      <c r="A9" s="17">
        <v>21</v>
      </c>
      <c r="B9" s="11">
        <v>21</v>
      </c>
      <c r="C9" s="12">
        <v>46049</v>
      </c>
      <c r="D9" s="11" t="s">
        <v>43</v>
      </c>
      <c r="E9" s="11" t="s">
        <v>9</v>
      </c>
      <c r="F9" s="11">
        <v>65</v>
      </c>
      <c r="G9" s="11">
        <v>71</v>
      </c>
      <c r="H9" s="11">
        <v>57</v>
      </c>
      <c r="I9" s="11">
        <v>17</v>
      </c>
      <c r="J9" s="11">
        <v>9</v>
      </c>
      <c r="K9" s="18">
        <v>13</v>
      </c>
      <c r="M9" s="27">
        <v>115.3</v>
      </c>
      <c r="N9" s="27">
        <v>100.9</v>
      </c>
      <c r="O9" s="27">
        <v>68.663174999999995</v>
      </c>
      <c r="P9" s="10">
        <f>(C24*O9)/B28</f>
        <v>72.062126552309778</v>
      </c>
      <c r="Q9" s="10">
        <f>(((M9*B24)/B27)*P9)/100</f>
        <v>75.123273415206725</v>
      </c>
      <c r="R9" s="10">
        <f>(((A24*N9)/B27)*P9)/100</f>
        <v>68.62934323019833</v>
      </c>
      <c r="S9" s="10">
        <f>(Q9-R9)+3.2</f>
        <v>9.6939301850083943</v>
      </c>
      <c r="T9" s="10">
        <f>G9-F9</f>
        <v>6</v>
      </c>
      <c r="U9" s="10">
        <f>S9-1.036*B29</f>
        <v>-0.55349600319809866</v>
      </c>
      <c r="V9" s="10">
        <f>S9+1.036*B29</f>
        <v>19.941356373214887</v>
      </c>
    </row>
    <row r="10" spans="1:22" ht="16">
      <c r="A10" s="17">
        <v>22</v>
      </c>
      <c r="B10" s="11">
        <v>22</v>
      </c>
      <c r="C10" s="12">
        <v>46053</v>
      </c>
      <c r="D10" s="13"/>
      <c r="E10" s="11" t="s">
        <v>18</v>
      </c>
      <c r="F10" s="11">
        <v>75</v>
      </c>
      <c r="G10" s="11">
        <v>91</v>
      </c>
      <c r="H10" s="11">
        <v>60</v>
      </c>
      <c r="I10" s="11">
        <v>17</v>
      </c>
      <c r="J10" s="11">
        <v>7</v>
      </c>
      <c r="K10" s="18">
        <v>12</v>
      </c>
      <c r="M10" s="27">
        <v>128.80000000000001</v>
      </c>
      <c r="N10" s="27">
        <v>107</v>
      </c>
      <c r="O10" s="27">
        <v>71.825850000000003</v>
      </c>
      <c r="P10" s="10">
        <f>(C24*O10)/B28</f>
        <v>75.381359694293465</v>
      </c>
      <c r="Q10" s="10">
        <f>(((A24*N10)/B27)*P10)/100</f>
        <v>76.130616559648658</v>
      </c>
      <c r="R10" s="10">
        <f>(((M10*B24)/B27)*P10)/100</f>
        <v>87.784522691454015</v>
      </c>
      <c r="S10" s="10">
        <f>(Q10-R10)+2.4</f>
        <v>-9.2539061318053566</v>
      </c>
      <c r="T10" s="10">
        <f>F10-G10</f>
        <v>-16</v>
      </c>
      <c r="U10" s="10">
        <f>S10-1.036*B29</f>
        <v>-19.501332320011848</v>
      </c>
      <c r="V10" s="10">
        <f>S10+1.036*B29</f>
        <v>0.99352005640113639</v>
      </c>
    </row>
    <row r="11" spans="1:22" ht="14">
      <c r="A11" s="17">
        <v>23</v>
      </c>
      <c r="B11" s="11">
        <v>23</v>
      </c>
      <c r="C11" s="12">
        <v>46057</v>
      </c>
      <c r="D11" s="11" t="s">
        <v>43</v>
      </c>
      <c r="E11" s="11" t="s">
        <v>20</v>
      </c>
      <c r="F11" s="11">
        <v>85</v>
      </c>
      <c r="G11" s="11">
        <v>90</v>
      </c>
      <c r="H11" s="11">
        <v>71</v>
      </c>
      <c r="I11" s="11">
        <v>14</v>
      </c>
      <c r="J11" s="11">
        <v>7</v>
      </c>
      <c r="K11" s="18">
        <v>8</v>
      </c>
      <c r="M11" s="26">
        <v>114.8</v>
      </c>
      <c r="N11" s="26">
        <v>103</v>
      </c>
      <c r="O11" s="26">
        <v>70.069299999999998</v>
      </c>
      <c r="P11" s="10">
        <f>(C24*O11)/B28</f>
        <v>73.537857287137669</v>
      </c>
      <c r="Q11" s="10">
        <f>(((M11*B24)/B27)*P11)/100</f>
        <v>76.329247662710571</v>
      </c>
      <c r="R11" s="10">
        <f>(((A24*N11)/B27)*P11)/100</f>
        <v>71.492387180731185</v>
      </c>
      <c r="S11" s="10">
        <f>(Q11-R11)+2.8</f>
        <v>7.6368604819793857</v>
      </c>
      <c r="T11" s="10">
        <f>G11-F11</f>
        <v>5</v>
      </c>
      <c r="U11" s="10">
        <f>S11-1.036*B29</f>
        <v>-2.6105657062271073</v>
      </c>
      <c r="V11" s="10">
        <f>S11+1.036*B29</f>
        <v>17.88428667018588</v>
      </c>
    </row>
    <row r="12" spans="1:22" ht="14">
      <c r="A12" s="17">
        <v>24</v>
      </c>
      <c r="B12" s="11">
        <v>24</v>
      </c>
      <c r="C12" s="12">
        <v>46060</v>
      </c>
      <c r="D12" s="11" t="s">
        <v>43</v>
      </c>
      <c r="E12" s="11" t="s">
        <v>22</v>
      </c>
      <c r="F12" s="11">
        <v>72</v>
      </c>
      <c r="G12" s="11">
        <v>95</v>
      </c>
      <c r="H12" s="11">
        <v>65</v>
      </c>
      <c r="I12" s="11">
        <v>17</v>
      </c>
      <c r="J12" s="11">
        <v>9</v>
      </c>
      <c r="K12" s="18">
        <v>12</v>
      </c>
      <c r="M12" s="26">
        <v>111.6</v>
      </c>
      <c r="N12" s="26">
        <v>103.8</v>
      </c>
      <c r="O12" s="26">
        <v>62.672174999999996</v>
      </c>
      <c r="P12" s="10">
        <f>(C24*O12)/B28</f>
        <v>65.774561199048904</v>
      </c>
      <c r="Q12" s="10">
        <f>(((M12*B24)/B27)*P12)/100</f>
        <v>66.368236254016495</v>
      </c>
      <c r="R12" s="10">
        <f>(((A24*N12)/B27)*P12)/100</f>
        <v>64.441689132471296</v>
      </c>
      <c r="S12" s="35">
        <f>(Q12-R12)+2.3</f>
        <v>4.226547121545198</v>
      </c>
      <c r="T12" s="25" t="s">
        <v>81</v>
      </c>
      <c r="U12" s="35">
        <f>S12-1.036*B29</f>
        <v>-6.020879066661295</v>
      </c>
      <c r="V12" s="35">
        <f>S12+1.036*B29</f>
        <v>14.473973309751692</v>
      </c>
    </row>
    <row r="13" spans="1:22" ht="16">
      <c r="A13" s="17">
        <v>25</v>
      </c>
      <c r="B13" s="11">
        <v>25</v>
      </c>
      <c r="C13" s="12">
        <v>46064</v>
      </c>
      <c r="D13" s="13"/>
      <c r="E13" s="11" t="s">
        <v>8</v>
      </c>
      <c r="F13" s="11">
        <v>67</v>
      </c>
      <c r="G13" s="11">
        <v>83</v>
      </c>
      <c r="H13" s="11">
        <v>66</v>
      </c>
      <c r="I13" s="11">
        <v>9</v>
      </c>
      <c r="J13" s="11">
        <v>10</v>
      </c>
      <c r="K13" s="18">
        <v>8</v>
      </c>
      <c r="M13" s="26">
        <v>114.7</v>
      </c>
      <c r="N13" s="26">
        <v>105.6</v>
      </c>
      <c r="O13" s="26">
        <v>70.806899999999999</v>
      </c>
      <c r="P13" s="10">
        <f>(C24*O13)/B28</f>
        <v>74.311969823369566</v>
      </c>
      <c r="Q13" s="10">
        <f>(((A24*N13)/B27)*P13)/100</f>
        <v>74.068626999906513</v>
      </c>
      <c r="R13" s="10">
        <f>(((M13*B24)/B27)*P13)/100</f>
        <v>77.065555586021532</v>
      </c>
      <c r="S13" s="35">
        <f>(Q13-R13)+2.4</f>
        <v>-0.59692858611501842</v>
      </c>
      <c r="T13" s="25" t="s">
        <v>81</v>
      </c>
      <c r="U13" s="35">
        <f>S13-1.036*B29</f>
        <v>-10.844354774321511</v>
      </c>
      <c r="V13" s="35">
        <f>S13+1.036*B29</f>
        <v>9.650497602091475</v>
      </c>
    </row>
    <row r="14" spans="1:22" ht="14">
      <c r="A14" s="17">
        <v>26</v>
      </c>
      <c r="B14" s="11">
        <v>26</v>
      </c>
      <c r="C14" s="12">
        <v>46067</v>
      </c>
      <c r="D14" s="11" t="s">
        <v>43</v>
      </c>
      <c r="E14" s="11" t="s">
        <v>16</v>
      </c>
      <c r="F14" s="11">
        <v>74</v>
      </c>
      <c r="G14" s="11">
        <v>89</v>
      </c>
      <c r="H14" s="11">
        <v>53</v>
      </c>
      <c r="I14" s="11">
        <v>14</v>
      </c>
      <c r="J14" s="11">
        <v>4</v>
      </c>
      <c r="K14" s="18">
        <v>15</v>
      </c>
      <c r="M14" s="26">
        <v>113.1</v>
      </c>
      <c r="N14" s="26">
        <v>105.6</v>
      </c>
      <c r="O14" s="26">
        <v>64.468800000000002</v>
      </c>
      <c r="P14" s="10">
        <f>(C24*O14)/B28</f>
        <v>67.660122391304341</v>
      </c>
      <c r="Q14" s="10">
        <f>(((M14*B24)/B27)*P14)/100</f>
        <v>69.188434845008445</v>
      </c>
      <c r="R14" s="10">
        <f>(((A24*N14)/B27)*P14)/100</f>
        <v>67.438561783266493</v>
      </c>
      <c r="S14" s="35">
        <f>(Q14-R14)+2.4</f>
        <v>4.1498730617419515</v>
      </c>
      <c r="T14" s="25" t="s">
        <v>81</v>
      </c>
      <c r="U14" s="35">
        <f>S14-1.036*B29</f>
        <v>-6.0975531264645415</v>
      </c>
      <c r="V14" s="35">
        <f>S14+1.036*B29</f>
        <v>14.397299249948444</v>
      </c>
    </row>
    <row r="15" spans="1:22" ht="16">
      <c r="A15" s="17">
        <v>27</v>
      </c>
      <c r="B15" s="11">
        <v>27</v>
      </c>
      <c r="C15" s="12">
        <v>46071</v>
      </c>
      <c r="D15" s="13"/>
      <c r="E15" s="11" t="s">
        <v>5</v>
      </c>
      <c r="F15" s="11">
        <v>68</v>
      </c>
      <c r="G15" s="11">
        <v>94</v>
      </c>
      <c r="H15" s="11">
        <v>64</v>
      </c>
      <c r="I15" s="11">
        <v>19</v>
      </c>
      <c r="J15" s="11">
        <v>7</v>
      </c>
      <c r="K15" s="18">
        <v>16</v>
      </c>
      <c r="M15" s="26">
        <v>121.8</v>
      </c>
      <c r="N15" s="26">
        <v>94.7</v>
      </c>
      <c r="O15" s="26">
        <v>66.483699999999999</v>
      </c>
      <c r="P15" s="10">
        <f>(C24*O15)/B28</f>
        <v>69.774763591485495</v>
      </c>
      <c r="Q15" s="10">
        <f>(((A24*N15)/B27)*P15)/100</f>
        <v>62.367732578067788</v>
      </c>
      <c r="R15" s="10">
        <f>(((M15*B24)/B27)*P15)/100</f>
        <v>76.839368023305283</v>
      </c>
      <c r="S15" s="35">
        <f>(Q15-R15)+2.4</f>
        <v>-12.071635445237495</v>
      </c>
      <c r="T15" s="25" t="s">
        <v>81</v>
      </c>
      <c r="U15" s="35">
        <f>S15-1.036*B29</f>
        <v>-22.319061633443987</v>
      </c>
      <c r="V15" s="35">
        <f>S15+1.036*B29</f>
        <v>-1.8242092570310025</v>
      </c>
    </row>
    <row r="16" spans="1:22" ht="14">
      <c r="A16" s="17">
        <v>28</v>
      </c>
      <c r="B16" s="11">
        <v>28</v>
      </c>
      <c r="C16" s="12">
        <v>46074</v>
      </c>
      <c r="D16" s="11" t="s">
        <v>43</v>
      </c>
      <c r="E16" s="11" t="s">
        <v>7</v>
      </c>
      <c r="F16" s="11">
        <v>70</v>
      </c>
      <c r="G16" s="11">
        <v>87</v>
      </c>
      <c r="H16" s="11">
        <v>61</v>
      </c>
      <c r="I16" s="11">
        <v>12</v>
      </c>
      <c r="J16" s="11">
        <v>10</v>
      </c>
      <c r="K16" s="18">
        <v>16</v>
      </c>
      <c r="M16" s="26">
        <v>122.3</v>
      </c>
      <c r="N16" s="26">
        <v>98.9</v>
      </c>
      <c r="O16" s="26">
        <v>71.274299999999997</v>
      </c>
      <c r="P16" s="10">
        <f>(C24*O16)/B28</f>
        <v>74.802506970108681</v>
      </c>
      <c r="Q16" s="10">
        <f>(((M16*B24)/B27)*P16)/100</f>
        <v>82.714325498783879</v>
      </c>
      <c r="R16" s="10">
        <f>(((A24*N16)/B27)*P16)/100</f>
        <v>69.827106715912933</v>
      </c>
      <c r="S16" s="35">
        <f>(Q16-R16)+3.5</f>
        <v>16.387218782870946</v>
      </c>
      <c r="T16" s="25" t="s">
        <v>81</v>
      </c>
      <c r="U16" s="35">
        <f>S16-1.036*B29</f>
        <v>6.1397925946644527</v>
      </c>
      <c r="V16" s="35">
        <f>S16+1.036*B29</f>
        <v>26.634644971077439</v>
      </c>
    </row>
    <row r="17" spans="1:22" ht="16">
      <c r="A17" s="17">
        <v>29</v>
      </c>
      <c r="B17" s="13"/>
      <c r="C17" s="12">
        <v>46081</v>
      </c>
      <c r="D17" s="13"/>
      <c r="E17" s="11" t="s">
        <v>15</v>
      </c>
      <c r="F17" s="13"/>
      <c r="G17" s="13"/>
      <c r="H17" s="13"/>
      <c r="I17" s="13"/>
      <c r="J17" s="13"/>
      <c r="K17" s="19"/>
      <c r="M17" s="26">
        <v>118</v>
      </c>
      <c r="N17" s="26">
        <v>98.9</v>
      </c>
      <c r="O17" s="26">
        <v>68.945975000000004</v>
      </c>
      <c r="P17" s="10">
        <f>(C25*O17)/B28</f>
        <v>74.437596850027163</v>
      </c>
      <c r="Q17" s="10">
        <f>(((A25*N17)/B27)*P17)/100</f>
        <v>68.40570882064965</v>
      </c>
      <c r="R17" s="10">
        <f>(((M17*B25)/B27)*P17)/100</f>
        <v>82.905998412222829</v>
      </c>
      <c r="S17" s="41">
        <f>(Q17-R17)+2.4</f>
        <v>-12.100289591573178</v>
      </c>
      <c r="T17" s="25" t="s">
        <v>81</v>
      </c>
      <c r="U17" s="41">
        <f>S17-1.036*B29</f>
        <v>-22.347715779779669</v>
      </c>
      <c r="V17" s="41">
        <f>S17+1.036*B29</f>
        <v>-1.8528634033666851</v>
      </c>
    </row>
    <row r="18" spans="1:22" ht="16">
      <c r="A18" s="17">
        <v>30</v>
      </c>
      <c r="B18" s="13"/>
      <c r="C18" s="12">
        <v>46085</v>
      </c>
      <c r="D18" s="13"/>
      <c r="E18" s="11" t="s">
        <v>20</v>
      </c>
      <c r="F18" s="13"/>
      <c r="G18" s="13"/>
      <c r="H18" s="13"/>
      <c r="I18" s="13"/>
      <c r="J18" s="13"/>
      <c r="K18" s="19"/>
      <c r="M18" s="26">
        <v>117.8</v>
      </c>
      <c r="N18" s="26">
        <v>102.1</v>
      </c>
      <c r="O18" s="26">
        <v>69.373500000000007</v>
      </c>
      <c r="P18" s="10">
        <f>(C25*O18)/B28</f>
        <v>74.899174680978248</v>
      </c>
      <c r="Q18" s="10">
        <f>(((A25*N18)/B27)*P18)/100</f>
        <v>71.056937571523292</v>
      </c>
      <c r="R18" s="10">
        <f>(((M18*B25)/B27)*P18)/100</f>
        <v>83.27869771778262</v>
      </c>
      <c r="S18" s="41">
        <f>(Q18-R18)+2.4</f>
        <v>-9.8217601462593276</v>
      </c>
      <c r="T18" s="25" t="s">
        <v>81</v>
      </c>
      <c r="U18" s="41">
        <f>S18-1.036*B29</f>
        <v>-20.069186334465819</v>
      </c>
      <c r="V18" s="41">
        <f>S18+1.036*B29</f>
        <v>0.4256660419471654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19</v>
      </c>
      <c r="F19" s="21"/>
      <c r="G19" s="21"/>
      <c r="H19" s="21"/>
      <c r="I19" s="21"/>
      <c r="J19" s="21"/>
      <c r="K19" s="24"/>
      <c r="M19" s="26">
        <v>114.6</v>
      </c>
      <c r="N19" s="26">
        <v>98.2</v>
      </c>
      <c r="O19" s="26">
        <v>63.329174999999999</v>
      </c>
      <c r="P19" s="10">
        <f>(C25*O19)/B28</f>
        <v>68.373412624809774</v>
      </c>
      <c r="Q19" s="10">
        <f>(((M19*B25)/B27)*P19)/100</f>
        <v>73.957713677684779</v>
      </c>
      <c r="R19" s="10">
        <f>(((A25*N19)/B27)*P19)/100</f>
        <v>62.38820011103455</v>
      </c>
      <c r="S19" s="41">
        <f>(Q19-R19)+4</f>
        <v>15.56951356665023</v>
      </c>
      <c r="T19" s="25" t="s">
        <v>81</v>
      </c>
      <c r="U19" s="41">
        <f>S19-1.036*B29</f>
        <v>5.3220873784437366</v>
      </c>
      <c r="V19" s="41">
        <f>S19+1.036*B29</f>
        <v>25.816939754856723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56.043999999999997</v>
      </c>
      <c r="I21" s="34">
        <v>18.074999999999999</v>
      </c>
      <c r="J21" s="34">
        <v>6.3079999999999998</v>
      </c>
      <c r="K21" s="34">
        <v>14.093999999999999</v>
      </c>
      <c r="M21" s="32" t="s">
        <v>82</v>
      </c>
    </row>
    <row r="22" spans="1:22">
      <c r="F22" s="26"/>
      <c r="G22" s="26"/>
      <c r="H22" s="34">
        <v>63.094000000000001</v>
      </c>
      <c r="I22" s="34">
        <v>15.183</v>
      </c>
      <c r="J22" s="34">
        <v>8.3010000000000002</v>
      </c>
      <c r="K22" s="34">
        <v>12.491</v>
      </c>
      <c r="M22" s="30">
        <f>(T2-S2)^2</f>
        <v>311.50584529040276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119.33958246726607</v>
      </c>
    </row>
    <row r="24" spans="1:22">
      <c r="A24" s="7">
        <v>109.3</v>
      </c>
      <c r="B24">
        <v>104.7</v>
      </c>
      <c r="C24">
        <f>H21-J21+K21+(0.475*I21)</f>
        <v>72.415624999999991</v>
      </c>
      <c r="F24" s="26"/>
      <c r="G24" s="26"/>
      <c r="H24" s="26"/>
      <c r="I24" s="26"/>
      <c r="J24" s="26"/>
      <c r="K24" s="26"/>
      <c r="M24" s="30">
        <f t="shared" si="0"/>
        <v>49.425090486089267</v>
      </c>
    </row>
    <row r="25" spans="1:22">
      <c r="A25" s="7">
        <v>107.6</v>
      </c>
      <c r="B25">
        <v>109.3</v>
      </c>
      <c r="C25">
        <f>H22-J22+K22+(0.475*I22)</f>
        <v>74.495924999999986</v>
      </c>
      <c r="F25" s="26"/>
      <c r="G25" s="26"/>
      <c r="H25" s="26"/>
      <c r="I25" s="26"/>
      <c r="J25" s="26"/>
      <c r="K25" s="26"/>
      <c r="M25" s="30">
        <f t="shared" si="0"/>
        <v>0.16499909359474815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651.78962730944056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451.78376509278667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17.895522155092291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13.645120211716151</v>
      </c>
    </row>
    <row r="30" spans="1:22">
      <c r="F30" s="26"/>
      <c r="G30" s="26"/>
      <c r="H30" s="26"/>
      <c r="I30" s="26"/>
      <c r="J30" s="26"/>
      <c r="K30" s="26"/>
      <c r="M30" s="31">
        <f>(T10-S10)^2</f>
        <v>45.509782478493364</v>
      </c>
    </row>
    <row r="31" spans="1:22">
      <c r="F31" s="26"/>
      <c r="G31" s="26"/>
      <c r="H31" s="26"/>
      <c r="I31" s="26"/>
      <c r="J31" s="26"/>
      <c r="K31" s="26"/>
      <c r="M31" s="31">
        <f>(T11-S11)^2</f>
        <v>6.9530332014245584</v>
      </c>
    </row>
    <row r="32" spans="1:22">
      <c r="L32" s="33" t="s">
        <v>83</v>
      </c>
      <c r="M32" s="29">
        <f>SUM(M22:M31)</f>
        <v>1668.0123677863069</v>
      </c>
    </row>
  </sheetData>
  <mergeCells count="1">
    <mergeCell ref="A21:B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A62F-0072-8845-9E81-4810BC365DA7}">
  <dimension ref="A1:V35"/>
  <sheetViews>
    <sheetView zoomScale="108" workbookViewId="0">
      <pane xSplit="5" topLeftCell="R1" activePane="topRight" state="frozen"/>
      <selection pane="topRight" activeCell="O25" sqref="O25"/>
    </sheetView>
  </sheetViews>
  <sheetFormatPr baseColWidth="10" defaultRowHeight="13"/>
  <cols>
    <col min="21" max="21" width="12.1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13</v>
      </c>
      <c r="B2" s="11">
        <v>13</v>
      </c>
      <c r="C2" s="12">
        <v>46021</v>
      </c>
      <c r="D2" s="11" t="s">
        <v>43</v>
      </c>
      <c r="E2" s="11" t="s">
        <v>20</v>
      </c>
      <c r="F2" s="11">
        <v>90</v>
      </c>
      <c r="G2" s="11">
        <v>70</v>
      </c>
      <c r="H2" s="11">
        <v>69</v>
      </c>
      <c r="I2" s="11">
        <v>14</v>
      </c>
      <c r="J2" s="11">
        <v>13</v>
      </c>
      <c r="K2" s="18">
        <v>10</v>
      </c>
      <c r="M2" s="10">
        <v>114.8</v>
      </c>
      <c r="N2" s="26">
        <v>103</v>
      </c>
      <c r="O2" s="10">
        <v>70.069299999999998</v>
      </c>
      <c r="P2" s="10">
        <f>(C24*O2)/B28</f>
        <v>72.378845057826084</v>
      </c>
      <c r="Q2" s="10">
        <f>(((M2*B24)/B27)*P2)/100</f>
        <v>70.964519923138283</v>
      </c>
      <c r="R2" s="10">
        <f>(((A24*N2)/B27)*P2)/100</f>
        <v>78.734807712342786</v>
      </c>
      <c r="S2" s="10">
        <f>(Q2-R2)+2.8</f>
        <v>-4.9702877892045025</v>
      </c>
      <c r="T2" s="10">
        <f>G2-F2</f>
        <v>-20</v>
      </c>
      <c r="U2" s="10">
        <f>S2-1.036*B29</f>
        <v>-15.217713977410995</v>
      </c>
      <c r="V2" s="10">
        <f>S2+1.036*B29</f>
        <v>5.2771383990019904</v>
      </c>
    </row>
    <row r="3" spans="1:22" ht="14">
      <c r="A3" s="17">
        <v>14</v>
      </c>
      <c r="B3" s="11">
        <v>14</v>
      </c>
      <c r="C3" s="12">
        <v>46024</v>
      </c>
      <c r="D3" s="11" t="s">
        <v>43</v>
      </c>
      <c r="E3" s="11" t="s">
        <v>22</v>
      </c>
      <c r="F3" s="11">
        <v>76</v>
      </c>
      <c r="G3" s="11">
        <v>80</v>
      </c>
      <c r="H3" s="11">
        <v>60</v>
      </c>
      <c r="I3" s="11">
        <v>21</v>
      </c>
      <c r="J3" s="11">
        <v>18</v>
      </c>
      <c r="K3" s="18">
        <v>12</v>
      </c>
      <c r="M3" s="10">
        <v>111.6</v>
      </c>
      <c r="N3" s="10">
        <v>103.8</v>
      </c>
      <c r="O3" s="10">
        <v>62.672174999999996</v>
      </c>
      <c r="P3" s="10">
        <f>(C24*O3)/B28</f>
        <v>64.737904385543473</v>
      </c>
      <c r="Q3" s="10">
        <f>(((M3*B24)/B27)*P3)/100</f>
        <v>61.703608618332972</v>
      </c>
      <c r="R3" s="10">
        <f>(((A24*N3)/B27)*P3)/100</f>
        <v>70.969850113932139</v>
      </c>
      <c r="S3" s="10">
        <f>(Q3-R3)+2.3</f>
        <v>-6.9662414955991681</v>
      </c>
      <c r="T3" s="10">
        <f>G3-F3</f>
        <v>4</v>
      </c>
      <c r="U3" s="10">
        <f>S3-1.036*B29</f>
        <v>-17.21366768380566</v>
      </c>
      <c r="V3" s="10">
        <f>S3+1.036*B29</f>
        <v>3.2811846926073249</v>
      </c>
    </row>
    <row r="4" spans="1:22" ht="16">
      <c r="A4" s="17">
        <v>15</v>
      </c>
      <c r="B4" s="11">
        <v>15</v>
      </c>
      <c r="C4" s="12">
        <v>46028</v>
      </c>
      <c r="D4" s="13"/>
      <c r="E4" s="11" t="s">
        <v>17</v>
      </c>
      <c r="F4" s="11">
        <v>73</v>
      </c>
      <c r="G4" s="11">
        <v>84</v>
      </c>
      <c r="H4" s="11">
        <v>65</v>
      </c>
      <c r="I4" s="11">
        <v>12</v>
      </c>
      <c r="J4" s="11">
        <v>10</v>
      </c>
      <c r="K4" s="18">
        <v>14</v>
      </c>
      <c r="M4" s="10">
        <v>126.9</v>
      </c>
      <c r="N4" s="10">
        <v>94.6</v>
      </c>
      <c r="O4" s="10">
        <v>71.7059</v>
      </c>
      <c r="P4" s="10">
        <f>(C24*O4)/B28</f>
        <v>74.069388816956518</v>
      </c>
      <c r="Q4" s="10">
        <f>(((A24*N4)/B27)*P4)/100</f>
        <v>74.002739159661814</v>
      </c>
      <c r="R4" s="10">
        <f>(((M4*B24)/B27)*P4)/100</f>
        <v>80.276441977739154</v>
      </c>
      <c r="S4" s="10">
        <f>(Q4-R4)+3.5</f>
        <v>-2.7737028180773393</v>
      </c>
      <c r="T4" s="10">
        <f>F4-G4</f>
        <v>-11</v>
      </c>
      <c r="U4" s="10">
        <f>S4-1.036*B29</f>
        <v>-13.021129006283832</v>
      </c>
      <c r="V4" s="10">
        <f>S4+1.036*B29</f>
        <v>7.4737233701291537</v>
      </c>
    </row>
    <row r="5" spans="1:22" ht="16">
      <c r="A5" s="17">
        <v>16</v>
      </c>
      <c r="B5" s="11">
        <v>16</v>
      </c>
      <c r="C5" s="12">
        <v>46032</v>
      </c>
      <c r="D5" s="13"/>
      <c r="E5" s="11" t="s">
        <v>12</v>
      </c>
      <c r="F5" s="11">
        <v>75</v>
      </c>
      <c r="G5" s="11">
        <v>62</v>
      </c>
      <c r="H5" s="11">
        <v>51</v>
      </c>
      <c r="I5" s="11">
        <v>25</v>
      </c>
      <c r="J5" s="11">
        <v>6</v>
      </c>
      <c r="K5" s="18">
        <v>13</v>
      </c>
      <c r="M5" s="10">
        <v>103.6</v>
      </c>
      <c r="N5" s="10">
        <v>97.3</v>
      </c>
      <c r="O5" s="10">
        <v>68.913325</v>
      </c>
      <c r="P5" s="10">
        <f>(C24*O5)/B28</f>
        <v>71.184768116630437</v>
      </c>
      <c r="Q5" s="10">
        <f>(((A24*N5)/B27)*P5)/100</f>
        <v>73.150586510068877</v>
      </c>
      <c r="R5" s="10">
        <f>(((M5*B24)/B27)*P5)/100</f>
        <v>62.984627073723679</v>
      </c>
      <c r="S5" s="10">
        <f>(Q5-R5)+3.5</f>
        <v>13.665959436345197</v>
      </c>
      <c r="T5" s="10">
        <f>F5-G5</f>
        <v>13</v>
      </c>
      <c r="U5" s="10">
        <f>S5-1.036*B29</f>
        <v>3.4185332481387043</v>
      </c>
      <c r="V5" s="10">
        <f>S5+1.036*B29</f>
        <v>23.91338562455169</v>
      </c>
    </row>
    <row r="6" spans="1:22" ht="16">
      <c r="A6" s="17">
        <v>17</v>
      </c>
      <c r="B6" s="11">
        <v>17</v>
      </c>
      <c r="C6" s="12">
        <v>46035</v>
      </c>
      <c r="D6" s="13"/>
      <c r="E6" s="11" t="s">
        <v>5</v>
      </c>
      <c r="F6" s="11">
        <v>70</v>
      </c>
      <c r="G6" s="11">
        <v>79</v>
      </c>
      <c r="H6" s="11">
        <v>67</v>
      </c>
      <c r="I6" s="11">
        <v>18</v>
      </c>
      <c r="J6" s="11">
        <v>14</v>
      </c>
      <c r="K6" s="18">
        <v>8</v>
      </c>
      <c r="M6" s="10">
        <v>121.8</v>
      </c>
      <c r="N6" s="10">
        <v>94.7</v>
      </c>
      <c r="O6" s="10">
        <v>66.483699999999999</v>
      </c>
      <c r="P6" s="10">
        <f>(C24*O6)/B28</f>
        <v>68.675060563913036</v>
      </c>
      <c r="Q6" s="10">
        <f>(((A24*N6)/B27)*P6)/100</f>
        <v>68.685794748681658</v>
      </c>
      <c r="R6" s="10">
        <f>(((M6*B24)/B27)*P6)/100</f>
        <v>71.438786964948861</v>
      </c>
      <c r="S6" s="10">
        <f>(Q6-R6)+3.5</f>
        <v>0.74700778373279775</v>
      </c>
      <c r="T6" s="10">
        <f>F6-G6</f>
        <v>-9</v>
      </c>
      <c r="U6" s="10">
        <f>S6-1.036*B29</f>
        <v>-9.5004184044736952</v>
      </c>
      <c r="V6" s="10">
        <f>S6+1.036*B29</f>
        <v>10.994433971939291</v>
      </c>
    </row>
    <row r="7" spans="1:22" ht="14">
      <c r="A7" s="17">
        <v>18</v>
      </c>
      <c r="B7" s="11">
        <v>18</v>
      </c>
      <c r="C7" s="12">
        <v>46039</v>
      </c>
      <c r="D7" s="11" t="s">
        <v>43</v>
      </c>
      <c r="E7" s="11" t="s">
        <v>48</v>
      </c>
      <c r="F7" s="11">
        <v>100</v>
      </c>
      <c r="G7" s="11">
        <v>59</v>
      </c>
      <c r="H7" s="11">
        <v>57</v>
      </c>
      <c r="I7" s="11">
        <v>15</v>
      </c>
      <c r="J7" s="11">
        <v>5</v>
      </c>
      <c r="K7" s="18">
        <v>8</v>
      </c>
      <c r="M7" s="27">
        <v>111.6</v>
      </c>
      <c r="N7" s="27">
        <v>107.1</v>
      </c>
      <c r="O7" s="27">
        <v>66.7727</v>
      </c>
      <c r="P7" s="10">
        <f>(C24*O7)/B28</f>
        <v>68.973586255217384</v>
      </c>
      <c r="Q7" s="10">
        <f>(((M7*B24)/B27)*P7)/100</f>
        <v>65.740762103586832</v>
      </c>
      <c r="R7" s="10">
        <f>(((A24*N7)/B27)*P7)/100</f>
        <v>78.017167016779055</v>
      </c>
      <c r="S7" s="10">
        <f>(Q7-R7)+2.7</f>
        <v>-9.5764049131922242</v>
      </c>
      <c r="T7" s="10">
        <f>G7-F7</f>
        <v>-41</v>
      </c>
      <c r="U7" s="10">
        <f>S7-1.036*B29</f>
        <v>-19.823831101398717</v>
      </c>
      <c r="V7" s="10">
        <f>S7+1.036*B29</f>
        <v>0.67102127501426878</v>
      </c>
    </row>
    <row r="8" spans="1:22" ht="16">
      <c r="A8" s="17">
        <v>19</v>
      </c>
      <c r="B8" s="11">
        <v>19</v>
      </c>
      <c r="C8" s="12">
        <v>46046</v>
      </c>
      <c r="D8" s="13"/>
      <c r="E8" s="11" t="s">
        <v>9</v>
      </c>
      <c r="F8" s="11">
        <v>85</v>
      </c>
      <c r="G8" s="11">
        <v>71</v>
      </c>
      <c r="H8" s="11">
        <v>66</v>
      </c>
      <c r="I8" s="11">
        <v>13</v>
      </c>
      <c r="J8" s="11">
        <v>12</v>
      </c>
      <c r="K8" s="18">
        <v>15</v>
      </c>
      <c r="M8" s="27">
        <v>115.3</v>
      </c>
      <c r="N8" s="27">
        <v>100.9</v>
      </c>
      <c r="O8" s="27">
        <v>68.663174999999995</v>
      </c>
      <c r="P8" s="10">
        <f>(C24*O8)/B28</f>
        <v>70.92637295510869</v>
      </c>
      <c r="Q8" s="10">
        <f>(((A24*N8)/B27)*P8)/100</f>
        <v>75.581727729891895</v>
      </c>
      <c r="R8" s="10">
        <f>(((M8*B24)/B27)*P8)/100</f>
        <v>69.8433064154151</v>
      </c>
      <c r="S8" s="10">
        <f>(Q8-R8)+3.5</f>
        <v>9.2384213144767955</v>
      </c>
      <c r="T8" s="10">
        <f>F8-G8</f>
        <v>14</v>
      </c>
      <c r="U8" s="10">
        <f>S8-1.036*B29</f>
        <v>-1.0090048737296975</v>
      </c>
      <c r="V8" s="10">
        <f>S8+1.036*B29</f>
        <v>19.485847502683288</v>
      </c>
    </row>
    <row r="9" spans="1:22" ht="14">
      <c r="A9" s="17">
        <v>20</v>
      </c>
      <c r="B9" s="11">
        <v>20</v>
      </c>
      <c r="C9" s="12">
        <v>46048</v>
      </c>
      <c r="D9" s="11" t="s">
        <v>43</v>
      </c>
      <c r="E9" s="11" t="s">
        <v>17</v>
      </c>
      <c r="F9" s="11">
        <v>52</v>
      </c>
      <c r="G9" s="11">
        <v>83</v>
      </c>
      <c r="H9" s="11">
        <v>54</v>
      </c>
      <c r="I9" s="11">
        <v>13</v>
      </c>
      <c r="J9" s="11">
        <v>5</v>
      </c>
      <c r="K9" s="18">
        <v>12</v>
      </c>
      <c r="M9" s="27">
        <v>126.9</v>
      </c>
      <c r="N9" s="27">
        <v>94.6</v>
      </c>
      <c r="O9" s="27">
        <v>71.7059</v>
      </c>
      <c r="P9" s="10">
        <f>(C24*O9)/B28</f>
        <v>74.069388816956518</v>
      </c>
      <c r="Q9" s="10">
        <f>(((M9*B24)/B27)*P9)/100</f>
        <v>80.276441977739154</v>
      </c>
      <c r="R9" s="10">
        <f>(((A24*N9)/B27)*P9)/100</f>
        <v>74.002739159661814</v>
      </c>
      <c r="S9" s="10">
        <f>(Q9-R9)+4.5</f>
        <v>10.773702818077339</v>
      </c>
      <c r="T9" s="10">
        <f>G9-F9</f>
        <v>31</v>
      </c>
      <c r="U9" s="10">
        <f>S9-1.036*B29</f>
        <v>0.52627662987084634</v>
      </c>
      <c r="V9" s="10">
        <f>S9+1.036*B29</f>
        <v>21.021129006283832</v>
      </c>
    </row>
    <row r="10" spans="1:22" ht="16">
      <c r="A10" s="17">
        <v>21</v>
      </c>
      <c r="B10" s="11">
        <v>21</v>
      </c>
      <c r="C10" s="12">
        <v>46053</v>
      </c>
      <c r="D10" s="13"/>
      <c r="E10" s="11" t="s">
        <v>13</v>
      </c>
      <c r="F10" s="11">
        <v>88</v>
      </c>
      <c r="G10" s="11">
        <v>74</v>
      </c>
      <c r="H10" s="11">
        <v>63</v>
      </c>
      <c r="I10" s="11">
        <v>23</v>
      </c>
      <c r="J10" s="11">
        <v>9</v>
      </c>
      <c r="K10" s="18">
        <v>11</v>
      </c>
      <c r="M10" s="27">
        <v>125.9</v>
      </c>
      <c r="N10" s="27">
        <v>104.5</v>
      </c>
      <c r="O10" s="27">
        <v>70.171149999999997</v>
      </c>
      <c r="P10" s="10">
        <f>(C24*O10)/B28</f>
        <v>72.484052122391304</v>
      </c>
      <c r="Q10" s="10">
        <f>(((A24*N10)/B27)*P10)/100</f>
        <v>79.997543656511539</v>
      </c>
      <c r="R10" s="10">
        <f>(((M10*B24)/B27)*P10)/100</f>
        <v>77.939196877588671</v>
      </c>
      <c r="S10" s="10">
        <f>(Q10-R10)+3.5</f>
        <v>5.5583467789228678</v>
      </c>
      <c r="T10" s="10">
        <f>F10-G10</f>
        <v>14</v>
      </c>
      <c r="U10" s="10">
        <f>S10-1.036*B29</f>
        <v>-4.6890794092836252</v>
      </c>
      <c r="V10" s="10">
        <f>S10+1.036*B29</f>
        <v>15.805772967129361</v>
      </c>
    </row>
    <row r="11" spans="1:22" ht="16">
      <c r="A11" s="17">
        <v>22</v>
      </c>
      <c r="B11" s="11">
        <v>22</v>
      </c>
      <c r="C11" s="12">
        <v>46057</v>
      </c>
      <c r="D11" s="13"/>
      <c r="E11" s="11" t="s">
        <v>16</v>
      </c>
      <c r="F11" s="11">
        <v>76</v>
      </c>
      <c r="G11" s="11">
        <v>65</v>
      </c>
      <c r="H11" s="11">
        <v>65</v>
      </c>
      <c r="I11" s="11">
        <v>18</v>
      </c>
      <c r="J11" s="11">
        <v>15</v>
      </c>
      <c r="K11" s="18">
        <v>12</v>
      </c>
      <c r="M11" s="26">
        <v>113.1</v>
      </c>
      <c r="N11" s="26">
        <v>105.6</v>
      </c>
      <c r="O11" s="26">
        <v>64.468800000000002</v>
      </c>
      <c r="P11" s="10">
        <f>(C24*O11)/B28</f>
        <v>66.593747707826083</v>
      </c>
      <c r="Q11" s="10">
        <f>(((A24*N11)/B27)*P11)/100</f>
        <v>74.270316096446365</v>
      </c>
      <c r="R11" s="10">
        <f>(((M11*B24)/B27)*P11)/100</f>
        <v>64.325592264523536</v>
      </c>
      <c r="S11" s="10">
        <f>(Q11-R11)+3.5</f>
        <v>13.444723831922829</v>
      </c>
      <c r="T11" s="25">
        <f>F11-G11</f>
        <v>11</v>
      </c>
      <c r="U11" s="10">
        <f>S11-1.036*B29</f>
        <v>3.1972976437163361</v>
      </c>
      <c r="V11" s="10">
        <f>S11+1.036*B29</f>
        <v>23.692150020129322</v>
      </c>
    </row>
    <row r="12" spans="1:22" ht="14">
      <c r="A12" s="17">
        <v>23</v>
      </c>
      <c r="B12" s="11">
        <v>23</v>
      </c>
      <c r="C12" s="12">
        <v>46060</v>
      </c>
      <c r="D12" s="11" t="s">
        <v>43</v>
      </c>
      <c r="E12" s="11" t="s">
        <v>8</v>
      </c>
      <c r="F12" s="11">
        <v>88</v>
      </c>
      <c r="G12" s="11">
        <v>80</v>
      </c>
      <c r="H12" s="11">
        <v>51</v>
      </c>
      <c r="I12" s="11">
        <v>31</v>
      </c>
      <c r="J12" s="11">
        <v>6</v>
      </c>
      <c r="K12" s="18">
        <v>11</v>
      </c>
      <c r="M12" s="26">
        <v>114.7</v>
      </c>
      <c r="N12" s="26">
        <v>105.6</v>
      </c>
      <c r="O12" s="26">
        <v>70.806899999999999</v>
      </c>
      <c r="P12" s="10">
        <f>(C24*O12)/B28</f>
        <v>73.140756995217387</v>
      </c>
      <c r="Q12" s="10">
        <f>(((M12*B24)/B27)*P12)/100</f>
        <v>71.649077152422876</v>
      </c>
      <c r="R12" s="10">
        <f>(((A24*N12)/B27)*P12)/100</f>
        <v>81.572029335267104</v>
      </c>
      <c r="S12" s="35">
        <f>(Q12-R12)+2.3</f>
        <v>-7.6229521828442275</v>
      </c>
      <c r="T12" s="25" t="s">
        <v>81</v>
      </c>
      <c r="U12" s="35">
        <f>S12-1.036*B29</f>
        <v>-17.87037837105072</v>
      </c>
      <c r="V12" s="35">
        <f>S12+1.036*B29</f>
        <v>2.6244740053622655</v>
      </c>
    </row>
    <row r="13" spans="1:22" ht="16">
      <c r="A13" s="17">
        <v>24</v>
      </c>
      <c r="B13" s="11">
        <v>24</v>
      </c>
      <c r="C13" s="12">
        <v>46062</v>
      </c>
      <c r="D13" s="13"/>
      <c r="E13" s="11" t="s">
        <v>10</v>
      </c>
      <c r="F13" s="11">
        <v>118</v>
      </c>
      <c r="G13" s="11">
        <v>77</v>
      </c>
      <c r="H13" s="11">
        <v>65</v>
      </c>
      <c r="I13" s="11">
        <v>27</v>
      </c>
      <c r="J13" s="11">
        <v>8</v>
      </c>
      <c r="K13" s="18">
        <v>10</v>
      </c>
      <c r="M13" s="26">
        <v>125.2</v>
      </c>
      <c r="N13" s="26">
        <v>100.9</v>
      </c>
      <c r="O13" s="26">
        <v>71.373625000000004</v>
      </c>
      <c r="P13" s="10">
        <f>(C24*O13)/B28</f>
        <v>73.726161744021738</v>
      </c>
      <c r="Q13" s="10">
        <f>(((A24*N13)/B27)*P13)/100</f>
        <v>78.56528469365719</v>
      </c>
      <c r="R13" s="10">
        <f>(((M13*B24)/B27)*P13)/100</f>
        <v>78.83402228322673</v>
      </c>
      <c r="S13" s="35">
        <f>(Q13-R13)+3.5</f>
        <v>3.2312624104304604</v>
      </c>
      <c r="T13" s="25" t="s">
        <v>81</v>
      </c>
      <c r="U13" s="35">
        <f>S13-1.036*B29</f>
        <v>-7.0161637777760326</v>
      </c>
      <c r="V13" s="35">
        <f>S13+1.036*B29</f>
        <v>13.478688598636953</v>
      </c>
    </row>
    <row r="14" spans="1:22" ht="14">
      <c r="A14" s="17">
        <v>25</v>
      </c>
      <c r="B14" s="11">
        <v>25</v>
      </c>
      <c r="C14" s="12">
        <v>46067</v>
      </c>
      <c r="D14" s="11" t="s">
        <v>85</v>
      </c>
      <c r="E14" s="11" t="s">
        <v>23</v>
      </c>
      <c r="F14" s="11">
        <v>82</v>
      </c>
      <c r="G14" s="11">
        <v>71</v>
      </c>
      <c r="H14" s="11">
        <v>50</v>
      </c>
      <c r="I14" s="11">
        <v>20</v>
      </c>
      <c r="J14" s="11">
        <v>4</v>
      </c>
      <c r="K14" s="18">
        <v>14</v>
      </c>
      <c r="M14" s="26">
        <v>115.1</v>
      </c>
      <c r="N14" s="26">
        <v>102.2</v>
      </c>
      <c r="O14" s="26">
        <v>68.368824999999987</v>
      </c>
      <c r="P14" s="10">
        <f>(C24*O14)/B33</f>
        <v>69.119718350319133</v>
      </c>
      <c r="Q14" s="10">
        <f>(((A24*N14)/B31)*P14)/100</f>
        <v>149.21096836679445</v>
      </c>
      <c r="R14" s="10">
        <f>(((M14*B24)/B31)*P14)/100</f>
        <v>135.89235072052492</v>
      </c>
      <c r="S14" s="35">
        <f>(Q14-R14)</f>
        <v>13.31861764626953</v>
      </c>
      <c r="T14" s="25" t="s">
        <v>81</v>
      </c>
      <c r="U14" s="35">
        <f>S14-1.036*B29</f>
        <v>3.0711914580630371</v>
      </c>
      <c r="V14" s="35">
        <f>S14+1.036*B29</f>
        <v>23.566043834476023</v>
      </c>
    </row>
    <row r="15" spans="1:22" ht="14">
      <c r="A15" s="17">
        <v>26</v>
      </c>
      <c r="B15" s="11">
        <v>26</v>
      </c>
      <c r="C15" s="12">
        <v>46070</v>
      </c>
      <c r="D15" s="11" t="s">
        <v>43</v>
      </c>
      <c r="E15" s="11" t="s">
        <v>13</v>
      </c>
      <c r="F15" s="11">
        <v>85</v>
      </c>
      <c r="G15" s="11">
        <v>95</v>
      </c>
      <c r="H15" s="11">
        <v>67</v>
      </c>
      <c r="I15" s="11">
        <v>15</v>
      </c>
      <c r="J15" s="11">
        <v>13</v>
      </c>
      <c r="K15" s="18">
        <v>17</v>
      </c>
      <c r="M15" s="26">
        <v>125.9</v>
      </c>
      <c r="N15" s="26">
        <v>104.5</v>
      </c>
      <c r="O15" s="26">
        <v>70.171149999999997</v>
      </c>
      <c r="P15" s="10">
        <f>(C24*O15)/B28</f>
        <v>72.484052122391304</v>
      </c>
      <c r="Q15" s="10">
        <f>(((M15*B24)/B27)*P15)/100</f>
        <v>77.939196877588671</v>
      </c>
      <c r="R15" s="10">
        <f>(((A24*N15)/B27)*P15)/100</f>
        <v>79.997543656511539</v>
      </c>
      <c r="S15" s="35">
        <f>(Q15-R15)+3.3</f>
        <v>1.2416532210771321</v>
      </c>
      <c r="T15" s="25" t="s">
        <v>81</v>
      </c>
      <c r="U15" s="35">
        <f>S15-1.036*B29</f>
        <v>-9.00577296712936</v>
      </c>
      <c r="V15" s="35">
        <f>S15+1.036*B29</f>
        <v>11.489079409283626</v>
      </c>
    </row>
    <row r="16" spans="1:22" ht="16">
      <c r="A16" s="17">
        <v>27</v>
      </c>
      <c r="B16" s="11">
        <v>27</v>
      </c>
      <c r="C16" s="12">
        <v>46074</v>
      </c>
      <c r="D16" s="13"/>
      <c r="E16" s="11" t="s">
        <v>21</v>
      </c>
      <c r="F16" s="11">
        <v>87</v>
      </c>
      <c r="G16" s="11">
        <v>70</v>
      </c>
      <c r="H16" s="11">
        <v>52</v>
      </c>
      <c r="I16" s="11">
        <v>20</v>
      </c>
      <c r="J16" s="11">
        <v>6</v>
      </c>
      <c r="K16" s="18">
        <v>18</v>
      </c>
      <c r="M16" s="26">
        <v>109.3</v>
      </c>
      <c r="N16" s="26">
        <v>104.7</v>
      </c>
      <c r="O16" s="26">
        <v>72.415624999999991</v>
      </c>
      <c r="P16" s="10">
        <f>(C24*O16)/B28</f>
        <v>74.802506970108681</v>
      </c>
      <c r="Q16" s="10">
        <f>(((A24*N16)/B27)*P16)/100</f>
        <v>82.714325498783879</v>
      </c>
      <c r="R16" s="10">
        <f>(((M16*B24)/B27)*P16)/100</f>
        <v>69.827106715912933</v>
      </c>
      <c r="S16" s="35">
        <f>(Q16-R16)+3.5</f>
        <v>16.387218782870946</v>
      </c>
      <c r="T16" s="25" t="s">
        <v>81</v>
      </c>
      <c r="U16" s="35">
        <f>S16-1.036*B29</f>
        <v>6.1397925946644527</v>
      </c>
      <c r="V16" s="35">
        <f>S16+1.036*B29</f>
        <v>26.634644971077439</v>
      </c>
    </row>
    <row r="17" spans="1:22" ht="16">
      <c r="A17" s="17">
        <v>28</v>
      </c>
      <c r="B17" s="13"/>
      <c r="C17" s="12">
        <v>46076</v>
      </c>
      <c r="D17" s="11" t="s">
        <v>43</v>
      </c>
      <c r="E17" s="11" t="s">
        <v>18</v>
      </c>
      <c r="F17" s="13"/>
      <c r="G17" s="13"/>
      <c r="H17" s="13"/>
      <c r="I17" s="13"/>
      <c r="J17" s="13"/>
      <c r="K17" s="19"/>
      <c r="M17" s="26">
        <v>128.80000000000001</v>
      </c>
      <c r="N17" s="26">
        <v>107</v>
      </c>
      <c r="O17" s="26">
        <v>71.825850000000003</v>
      </c>
      <c r="P17" s="10">
        <f>(C24*O17)/B28</f>
        <v>74.193292473260868</v>
      </c>
      <c r="Q17" s="10">
        <f>(((M17*B24)/B27)*P17)/100</f>
        <v>81.614671967011105</v>
      </c>
      <c r="R17" s="10">
        <f>(((A24*N17)/B27)*P17)/100</f>
        <v>83.842905408837581</v>
      </c>
      <c r="S17" s="35">
        <f>(Q17-R17)+3.7</f>
        <v>1.4717665581735249</v>
      </c>
      <c r="T17" s="25" t="s">
        <v>81</v>
      </c>
      <c r="U17" s="35">
        <f>S17-1.036*B29</f>
        <v>-8.775659630032969</v>
      </c>
      <c r="V17" s="35">
        <f>S17+1.036*B29</f>
        <v>11.719192746380017</v>
      </c>
    </row>
    <row r="18" spans="1:22" ht="16">
      <c r="A18" s="17">
        <v>29</v>
      </c>
      <c r="B18" s="13"/>
      <c r="C18" s="12">
        <v>46081</v>
      </c>
      <c r="D18" s="11" t="s">
        <v>43</v>
      </c>
      <c r="E18" s="11" t="s">
        <v>19</v>
      </c>
      <c r="F18" s="13"/>
      <c r="G18" s="13"/>
      <c r="H18" s="13"/>
      <c r="I18" s="13"/>
      <c r="J18" s="13"/>
      <c r="K18" s="19"/>
      <c r="M18" s="26">
        <v>114.6</v>
      </c>
      <c r="N18" s="26">
        <v>98.2</v>
      </c>
      <c r="O18" s="26">
        <v>63.329174999999999</v>
      </c>
      <c r="P18" s="10">
        <f>(C25*O18)/B28</f>
        <v>67.019728563831521</v>
      </c>
      <c r="Q18" s="10">
        <f>(((M18*B25)/B27)*P18)/100</f>
        <v>63.871190331249863</v>
      </c>
      <c r="R18" s="10">
        <f>(((A25*N18)/B27)*P18)/100</f>
        <v>71.553572688385444</v>
      </c>
      <c r="S18" s="41">
        <f>(Q18-R18)+4</f>
        <v>-3.6823823571355803</v>
      </c>
      <c r="T18" s="25" t="s">
        <v>81</v>
      </c>
      <c r="U18" s="41">
        <f>S18-1.036*B29</f>
        <v>-13.929808545342073</v>
      </c>
      <c r="V18" s="41">
        <f>S18+1.036*B29</f>
        <v>6.5650438310709127</v>
      </c>
    </row>
    <row r="19" spans="1:22" ht="16">
      <c r="A19" s="17">
        <v>30</v>
      </c>
      <c r="B19" s="13"/>
      <c r="C19" s="12">
        <v>46084</v>
      </c>
      <c r="D19" s="13"/>
      <c r="E19" s="11" t="s">
        <v>4</v>
      </c>
      <c r="F19" s="13"/>
      <c r="G19" s="13"/>
      <c r="H19" s="13"/>
      <c r="I19" s="13"/>
      <c r="J19" s="13"/>
      <c r="K19" s="19"/>
      <c r="M19" s="26">
        <v>116.9</v>
      </c>
      <c r="N19" s="26">
        <v>107.9</v>
      </c>
      <c r="O19" s="26">
        <v>65.703800000000001</v>
      </c>
      <c r="P19" s="10">
        <f>(C25*O19)/B28</f>
        <v>69.532736556449265</v>
      </c>
      <c r="Q19" s="10">
        <f>(((A25*N19)/B27)*P19)/100</f>
        <v>81.569525764430594</v>
      </c>
      <c r="R19" s="10">
        <f>(((M19*B25)/B27)*P19)/100</f>
        <v>67.596087720391267</v>
      </c>
      <c r="S19" s="41">
        <f>(Q19-R19)+3.5</f>
        <v>17.473438044039327</v>
      </c>
      <c r="T19" s="25" t="s">
        <v>81</v>
      </c>
      <c r="U19" s="41">
        <f>S19-1.036*B29</f>
        <v>7.2260118558328337</v>
      </c>
      <c r="V19" s="41">
        <f>S19+1.036*B29</f>
        <v>27.72086423224582</v>
      </c>
    </row>
    <row r="20" spans="1:22" ht="16">
      <c r="A20" s="20">
        <v>31</v>
      </c>
      <c r="B20" s="21"/>
      <c r="C20" s="22">
        <v>46088</v>
      </c>
      <c r="D20" s="23" t="s">
        <v>43</v>
      </c>
      <c r="E20" s="23" t="s">
        <v>46</v>
      </c>
      <c r="F20" s="21"/>
      <c r="G20" s="21"/>
      <c r="H20" s="21"/>
      <c r="I20" s="21"/>
      <c r="J20" s="21"/>
      <c r="K20" s="24"/>
      <c r="M20" s="26">
        <v>120.1</v>
      </c>
      <c r="N20" s="26">
        <v>102.6</v>
      </c>
      <c r="O20" s="26">
        <v>69.528774999999996</v>
      </c>
      <c r="P20" s="10">
        <f>(C25*O20)/B28</f>
        <v>73.580614746295282</v>
      </c>
      <c r="Q20" s="10">
        <f>(((M20*B25)/B27)*P20)/100</f>
        <v>73.489306159602336</v>
      </c>
      <c r="R20" s="10">
        <f>(((A25*N20)/B27)*P20)/100</f>
        <v>82.078222632721065</v>
      </c>
      <c r="S20" s="41">
        <f>(Q20-R20)+3.5</f>
        <v>-5.0889164731187293</v>
      </c>
      <c r="T20" s="25" t="s">
        <v>81</v>
      </c>
      <c r="U20" s="41">
        <f>S20-1.036*B29</f>
        <v>-15.336342661325222</v>
      </c>
      <c r="V20" s="41">
        <f>S20+1.036*B29</f>
        <v>5.1585097150877637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9">
        <v>64.555000000000007</v>
      </c>
      <c r="I21" s="39">
        <v>15.868</v>
      </c>
      <c r="J21" s="39">
        <v>11.7</v>
      </c>
      <c r="K21" s="39">
        <v>10.882</v>
      </c>
      <c r="M21" s="32" t="s">
        <v>82</v>
      </c>
    </row>
    <row r="22" spans="1:22">
      <c r="F22" s="26"/>
      <c r="G22" s="26"/>
      <c r="H22" s="34">
        <v>54.951000000000001</v>
      </c>
      <c r="I22" s="34">
        <v>26.298999999999999</v>
      </c>
      <c r="J22" s="34">
        <v>6.8170000000000002</v>
      </c>
      <c r="K22" s="34">
        <v>12.395</v>
      </c>
      <c r="M22" s="30">
        <f>(T2-S2)^2</f>
        <v>225.89224913933532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120.25845253980106</v>
      </c>
    </row>
    <row r="24" spans="1:22">
      <c r="A24" s="7">
        <v>122.3</v>
      </c>
      <c r="B24">
        <v>98.9</v>
      </c>
      <c r="C24">
        <f>H21-J21+K21+(0.475*I21)</f>
        <v>71.274299999999997</v>
      </c>
      <c r="F24" s="26"/>
      <c r="G24" s="26"/>
      <c r="H24" s="26"/>
      <c r="I24" s="26"/>
      <c r="J24" s="26"/>
      <c r="K24" s="26"/>
      <c r="M24" s="30">
        <f t="shared" si="0"/>
        <v>67.671965325308705</v>
      </c>
    </row>
    <row r="25" spans="1:22">
      <c r="A25" s="7">
        <v>125.9</v>
      </c>
      <c r="B25">
        <v>96.3</v>
      </c>
      <c r="C25">
        <f>H22-J22+K22+(0.475*I22)</f>
        <v>73.021024999999995</v>
      </c>
      <c r="F25" s="26"/>
      <c r="G25" s="26"/>
      <c r="H25" s="26"/>
      <c r="I25" s="26"/>
      <c r="J25" s="26"/>
      <c r="K25" s="26"/>
      <c r="M25" s="30">
        <f t="shared" si="0"/>
        <v>0.44350197085721288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95.004160736147739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987.44232817964973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22.672631578428888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409.10309769145255</v>
      </c>
    </row>
    <row r="30" spans="1:22">
      <c r="A30" s="7" t="s">
        <v>88</v>
      </c>
      <c r="F30" s="26"/>
      <c r="G30" s="26"/>
      <c r="H30" s="26"/>
      <c r="I30" s="26"/>
      <c r="J30" s="26"/>
      <c r="K30" s="26"/>
      <c r="M30" s="31">
        <f>(T10-S10)^2</f>
        <v>71.261509104921927</v>
      </c>
    </row>
    <row r="31" spans="1:22">
      <c r="A31" s="7" t="s">
        <v>94</v>
      </c>
      <c r="B31">
        <f>(B27+B30)/2</f>
        <v>57.9</v>
      </c>
      <c r="F31" s="26"/>
      <c r="G31" s="26"/>
      <c r="H31" s="26"/>
      <c r="I31" s="26"/>
      <c r="J31" s="26"/>
      <c r="K31" s="26"/>
      <c r="M31" s="31">
        <f>(T11-S11)^2</f>
        <v>5.9766746143714409</v>
      </c>
    </row>
    <row r="32" spans="1:22">
      <c r="A32" s="7" t="s">
        <v>89</v>
      </c>
      <c r="B32">
        <v>72</v>
      </c>
      <c r="L32" s="33" t="s">
        <v>83</v>
      </c>
      <c r="M32" s="29">
        <f>SUM(M22:M31)</f>
        <v>2005.7265708802747</v>
      </c>
    </row>
    <row r="33" spans="1:2">
      <c r="A33" s="7" t="s">
        <v>95</v>
      </c>
      <c r="B33">
        <f>(B32+B28)/2</f>
        <v>70.5</v>
      </c>
    </row>
    <row r="35" spans="1:2">
      <c r="A35" s="7" t="s">
        <v>98</v>
      </c>
    </row>
  </sheetData>
  <mergeCells count="1">
    <mergeCell ref="A21:B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5706-E27A-C14E-B987-1575BBC7B758}">
  <dimension ref="A1:V31"/>
  <sheetViews>
    <sheetView zoomScale="114" workbookViewId="0">
      <pane xSplit="5" topLeftCell="R1" activePane="topRight" state="frozen"/>
      <selection pane="topRight" activeCell="N23" sqref="N23"/>
    </sheetView>
  </sheetViews>
  <sheetFormatPr baseColWidth="10" defaultRowHeight="13"/>
  <cols>
    <col min="17" max="19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46021</v>
      </c>
      <c r="D2" s="13"/>
      <c r="E2" s="11" t="s">
        <v>48</v>
      </c>
      <c r="F2" s="11">
        <v>76</v>
      </c>
      <c r="G2" s="11">
        <v>69</v>
      </c>
      <c r="H2" s="11">
        <v>58</v>
      </c>
      <c r="I2" s="11">
        <v>26</v>
      </c>
      <c r="J2" s="11">
        <v>14</v>
      </c>
      <c r="K2" s="18">
        <v>10</v>
      </c>
      <c r="M2" s="10">
        <v>111.6</v>
      </c>
      <c r="N2" s="26">
        <v>107.1</v>
      </c>
      <c r="O2" s="10">
        <v>66.7727</v>
      </c>
      <c r="P2" s="10">
        <f>(C24*O2)/B28</f>
        <v>66.307516856666666</v>
      </c>
      <c r="Q2" s="10">
        <f>(((A24*N2)/B27)*P2)/100</f>
        <v>73.223081658779833</v>
      </c>
      <c r="R2" s="10">
        <f>(((M2*B24)/B27)*P2)/100</f>
        <v>66.586489414633576</v>
      </c>
      <c r="S2" s="10">
        <f>(Q2-R2)+3.5</f>
        <v>10.136592244146257</v>
      </c>
      <c r="T2" s="10">
        <f>F2-G2</f>
        <v>7</v>
      </c>
      <c r="U2" s="10">
        <f>S2-1.036*B29</f>
        <v>-0.11083394406023572</v>
      </c>
      <c r="V2" s="10">
        <f>S2+1.036*B29</f>
        <v>20.38401843235275</v>
      </c>
    </row>
    <row r="3" spans="1:22" ht="14">
      <c r="A3" s="17">
        <v>15</v>
      </c>
      <c r="B3" s="11">
        <v>15</v>
      </c>
      <c r="C3" s="12">
        <v>46029</v>
      </c>
      <c r="D3" s="11" t="s">
        <v>43</v>
      </c>
      <c r="E3" s="11" t="s">
        <v>8</v>
      </c>
      <c r="F3" s="11">
        <v>81</v>
      </c>
      <c r="G3" s="11">
        <v>77</v>
      </c>
      <c r="H3" s="11">
        <v>54</v>
      </c>
      <c r="I3" s="11">
        <v>30</v>
      </c>
      <c r="J3" s="11">
        <v>11</v>
      </c>
      <c r="K3" s="18">
        <v>13</v>
      </c>
      <c r="M3" s="10">
        <v>114.7</v>
      </c>
      <c r="N3" s="10">
        <v>105.6</v>
      </c>
      <c r="O3" s="10">
        <v>70.806899999999999</v>
      </c>
      <c r="P3" s="10">
        <f>(C24*O3)/B28</f>
        <v>70.313611930000008</v>
      </c>
      <c r="Q3" s="10">
        <f>(((M3*B24)/B27)*P3)/100</f>
        <v>72.570812456671703</v>
      </c>
      <c r="R3" s="10">
        <f>(((A24*N3)/B27)*P3)/100</f>
        <v>76.559500857087684</v>
      </c>
      <c r="S3" s="10">
        <f>(Q3-R3)+2.3</f>
        <v>-1.6886884004159812</v>
      </c>
      <c r="T3" s="10">
        <f>G3-F3</f>
        <v>-4</v>
      </c>
      <c r="U3" s="10">
        <f>S3-1.036*B29</f>
        <v>-11.936114588622473</v>
      </c>
      <c r="V3" s="10">
        <f>S3+1.036*B29</f>
        <v>8.5587377877905126</v>
      </c>
    </row>
    <row r="4" spans="1:22" ht="16">
      <c r="A4" s="17">
        <v>16</v>
      </c>
      <c r="B4" s="11">
        <v>16</v>
      </c>
      <c r="C4" s="12">
        <v>46032</v>
      </c>
      <c r="D4" s="13"/>
      <c r="E4" s="11" t="s">
        <v>21</v>
      </c>
      <c r="F4" s="11">
        <v>91</v>
      </c>
      <c r="G4" s="11">
        <v>81</v>
      </c>
      <c r="H4" s="11">
        <v>58</v>
      </c>
      <c r="I4" s="11">
        <v>32</v>
      </c>
      <c r="J4" s="11">
        <v>7</v>
      </c>
      <c r="K4" s="18">
        <v>7</v>
      </c>
      <c r="M4" s="10">
        <v>109.3</v>
      </c>
      <c r="N4" s="10">
        <v>104.7</v>
      </c>
      <c r="O4" s="10">
        <v>72.415624999999991</v>
      </c>
      <c r="P4" s="10">
        <f>(C24*O4)/B28</f>
        <v>71.911129479166661</v>
      </c>
      <c r="Q4" s="10">
        <f>(((A24*N4)/B27)*P4)/100</f>
        <v>77.631603939755507</v>
      </c>
      <c r="R4" s="10">
        <f>(((M4*B24)/B27)*P4)/100</f>
        <v>70.72540313523298</v>
      </c>
      <c r="S4" s="10">
        <f>(Q4-R4)+3.5</f>
        <v>10.406200804522527</v>
      </c>
      <c r="T4" s="10">
        <f>F4-G4</f>
        <v>10</v>
      </c>
      <c r="U4" s="10">
        <f>S4-1.036*B29</f>
        <v>0.15877461631603396</v>
      </c>
      <c r="V4" s="10">
        <f>S4+1.036*B29</f>
        <v>20.65362699272902</v>
      </c>
    </row>
    <row r="5" spans="1:22" ht="14">
      <c r="A5" s="17">
        <v>17</v>
      </c>
      <c r="B5" s="11">
        <v>17</v>
      </c>
      <c r="C5" s="12">
        <v>46035</v>
      </c>
      <c r="D5" s="11" t="s">
        <v>43</v>
      </c>
      <c r="E5" s="11" t="s">
        <v>16</v>
      </c>
      <c r="F5" s="11">
        <v>81</v>
      </c>
      <c r="G5" s="11">
        <v>69</v>
      </c>
      <c r="H5" s="11">
        <v>58</v>
      </c>
      <c r="I5" s="11">
        <v>21</v>
      </c>
      <c r="J5" s="11">
        <v>5</v>
      </c>
      <c r="K5" s="18">
        <v>8</v>
      </c>
      <c r="M5" s="10">
        <v>113.1</v>
      </c>
      <c r="N5" s="10">
        <v>105.6</v>
      </c>
      <c r="O5" s="10">
        <v>64.468800000000002</v>
      </c>
      <c r="P5" s="10">
        <f>(C24*O5)/B28</f>
        <v>64.019667360000014</v>
      </c>
      <c r="Q5" s="10">
        <f>(((M5*B24)/B27)*P5)/100</f>
        <v>65.153114009580946</v>
      </c>
      <c r="R5" s="10">
        <f>(((A24*N5)/B27)*P5)/100</f>
        <v>69.706471387045809</v>
      </c>
      <c r="S5" s="10">
        <f>(Q5-R5)+2.4</f>
        <v>-2.1533573774648631</v>
      </c>
      <c r="T5" s="10">
        <f>G5-F5</f>
        <v>-12</v>
      </c>
      <c r="U5" s="10">
        <f>S5-1.036*B29</f>
        <v>-12.400783565671356</v>
      </c>
      <c r="V5" s="10">
        <f>S5+1.036*B29</f>
        <v>8.0940688107416303</v>
      </c>
    </row>
    <row r="6" spans="1:22" ht="14">
      <c r="A6" s="17">
        <v>18</v>
      </c>
      <c r="B6" s="11">
        <v>18</v>
      </c>
      <c r="C6" s="12">
        <v>46039</v>
      </c>
      <c r="D6" s="11" t="s">
        <v>43</v>
      </c>
      <c r="E6" s="11" t="s">
        <v>19</v>
      </c>
      <c r="F6" s="11">
        <v>59</v>
      </c>
      <c r="G6" s="11">
        <v>69</v>
      </c>
      <c r="H6" s="11">
        <v>54</v>
      </c>
      <c r="I6" s="11">
        <v>14</v>
      </c>
      <c r="J6" s="11">
        <v>10</v>
      </c>
      <c r="K6" s="18">
        <v>16</v>
      </c>
      <c r="M6" s="10">
        <v>115.4</v>
      </c>
      <c r="N6" s="10">
        <v>91.8</v>
      </c>
      <c r="O6" s="10">
        <v>65.54495</v>
      </c>
      <c r="P6" s="10">
        <f>(C24*O6)/B28</f>
        <v>65.088320181666674</v>
      </c>
      <c r="Q6" s="10">
        <f>(((M6*B24)/B27)*P6)/100</f>
        <v>67.587756642666989</v>
      </c>
      <c r="R6" s="10">
        <f>(((A24*N6)/B27)*P6)/100</f>
        <v>61.608624390814676</v>
      </c>
      <c r="S6" s="10">
        <f>(Q6-R6)+4</f>
        <v>9.9791322518523131</v>
      </c>
      <c r="T6" s="10">
        <f>G6-F6</f>
        <v>10</v>
      </c>
      <c r="U6" s="10">
        <f>S6-1.036*B29</f>
        <v>-0.26829393635417986</v>
      </c>
      <c r="V6" s="10">
        <f>S6+1.036*B29</f>
        <v>20.226558440058806</v>
      </c>
    </row>
    <row r="7" spans="1:22" ht="16">
      <c r="A7" s="17">
        <v>19</v>
      </c>
      <c r="B7" s="11">
        <v>19</v>
      </c>
      <c r="C7" s="12">
        <v>46042</v>
      </c>
      <c r="D7" s="13"/>
      <c r="E7" s="11" t="s">
        <v>15</v>
      </c>
      <c r="F7" s="11">
        <v>63</v>
      </c>
      <c r="G7" s="11">
        <v>65</v>
      </c>
      <c r="H7" s="11">
        <v>57</v>
      </c>
      <c r="I7" s="11">
        <v>15</v>
      </c>
      <c r="J7" s="11">
        <v>5</v>
      </c>
      <c r="K7" s="18">
        <v>14</v>
      </c>
      <c r="M7" s="27">
        <v>116.5</v>
      </c>
      <c r="N7" s="27">
        <v>104.7</v>
      </c>
      <c r="O7" s="27">
        <v>71.247624999999999</v>
      </c>
      <c r="P7" s="10">
        <f>(C24*O7)/B28</f>
        <v>70.751266545833332</v>
      </c>
      <c r="Q7" s="10">
        <f>(((A24*N7)/B27)*P7)/100</f>
        <v>76.37947481152338</v>
      </c>
      <c r="R7" s="10">
        <f>(((M7*B24)/B27)*P7)/100</f>
        <v>74.168467183059988</v>
      </c>
      <c r="S7" s="10">
        <f>(Q7-R7)+3.5</f>
        <v>5.7110076284633919</v>
      </c>
      <c r="T7" s="10">
        <f>F7-G7</f>
        <v>-2</v>
      </c>
      <c r="U7" s="10">
        <f>S7-1.036*B29</f>
        <v>-4.536418559743101</v>
      </c>
      <c r="V7" s="10">
        <f>S7+1.036*B29</f>
        <v>15.958433816669885</v>
      </c>
    </row>
    <row r="8" spans="1:22" ht="14">
      <c r="A8" s="17">
        <v>20</v>
      </c>
      <c r="B8" s="11">
        <v>20</v>
      </c>
      <c r="C8" s="12">
        <v>46046</v>
      </c>
      <c r="D8" s="11" t="s">
        <v>43</v>
      </c>
      <c r="E8" s="11" t="s">
        <v>4</v>
      </c>
      <c r="F8" s="11">
        <v>85</v>
      </c>
      <c r="G8" s="11">
        <v>76</v>
      </c>
      <c r="H8" s="11">
        <v>54</v>
      </c>
      <c r="I8" s="11">
        <v>15</v>
      </c>
      <c r="J8" s="11">
        <v>5</v>
      </c>
      <c r="K8" s="18">
        <v>15</v>
      </c>
      <c r="M8" s="27">
        <v>117.2</v>
      </c>
      <c r="N8" s="27">
        <v>104.5</v>
      </c>
      <c r="O8" s="27">
        <v>69.786749999999998</v>
      </c>
      <c r="P8" s="10">
        <f>(C24*O8)/B28</f>
        <v>69.300568975000004</v>
      </c>
      <c r="Q8" s="10">
        <f>(((M8*B24)/B27)*P8)/100</f>
        <v>73.084212474892396</v>
      </c>
      <c r="R8" s="10">
        <f>(((A24*N8)/B27)*P8)/100</f>
        <v>74.670465394798597</v>
      </c>
      <c r="S8" s="10">
        <f>(Q8-R8)+3.1</f>
        <v>1.5137470800937991</v>
      </c>
      <c r="T8" s="10">
        <f>G8-F8</f>
        <v>-9</v>
      </c>
      <c r="U8" s="10">
        <f>S8-1.036*B29</f>
        <v>-8.7336791081126943</v>
      </c>
      <c r="V8" s="10">
        <f>S8+1.036*B29</f>
        <v>11.761173268300292</v>
      </c>
    </row>
    <row r="9" spans="1:22" ht="16">
      <c r="A9" s="17">
        <v>21</v>
      </c>
      <c r="B9" s="11">
        <v>21</v>
      </c>
      <c r="C9" s="12">
        <v>46050</v>
      </c>
      <c r="D9" s="13"/>
      <c r="E9" s="11" t="s">
        <v>22</v>
      </c>
      <c r="F9" s="11">
        <v>79</v>
      </c>
      <c r="G9" s="11">
        <v>70</v>
      </c>
      <c r="H9" s="11">
        <v>57</v>
      </c>
      <c r="I9" s="11">
        <v>31</v>
      </c>
      <c r="J9" s="11">
        <v>11</v>
      </c>
      <c r="K9" s="18">
        <v>8</v>
      </c>
      <c r="M9" s="27">
        <v>111.6</v>
      </c>
      <c r="N9" s="27">
        <v>103.8</v>
      </c>
      <c r="O9" s="27">
        <v>62.672174999999996</v>
      </c>
      <c r="P9" s="10">
        <f>(C24*O9)/B28</f>
        <v>62.235558847499988</v>
      </c>
      <c r="Q9" s="10">
        <f>(((A24*N9)/B27)*P9)/100</f>
        <v>66.608816096669912</v>
      </c>
      <c r="R9" s="10">
        <f>(((M9*B24)/B27)*P9)/100</f>
        <v>62.497399644309155</v>
      </c>
      <c r="S9" s="10">
        <f>(Q9-R9)+3.5</f>
        <v>7.611416452360757</v>
      </c>
      <c r="T9" s="10">
        <f>F9-G9</f>
        <v>9</v>
      </c>
      <c r="U9" s="10">
        <f>S9-1.036*B29</f>
        <v>-2.6360097358457359</v>
      </c>
      <c r="V9" s="10">
        <f>S9+1.036*B29</f>
        <v>17.85884264056725</v>
      </c>
    </row>
    <row r="10" spans="1:22" ht="16">
      <c r="A10" s="17">
        <v>22</v>
      </c>
      <c r="B10" s="11">
        <v>22</v>
      </c>
      <c r="C10" s="12">
        <v>46053</v>
      </c>
      <c r="D10" s="13"/>
      <c r="E10" s="11" t="s">
        <v>20</v>
      </c>
      <c r="F10" s="11">
        <v>85</v>
      </c>
      <c r="G10" s="11">
        <v>86</v>
      </c>
      <c r="H10" s="11">
        <v>51</v>
      </c>
      <c r="I10" s="11">
        <v>33</v>
      </c>
      <c r="J10" s="11">
        <v>7</v>
      </c>
      <c r="K10" s="18">
        <v>7</v>
      </c>
      <c r="M10" s="27">
        <v>114.8</v>
      </c>
      <c r="N10" s="27">
        <v>103</v>
      </c>
      <c r="O10" s="27">
        <v>70.069299999999998</v>
      </c>
      <c r="P10" s="10">
        <f>(C24*O10)/B28</f>
        <v>69.581150543333322</v>
      </c>
      <c r="Q10" s="10">
        <f>(((A24*N10)/B27)*P10)/100</f>
        <v>73.896623973404317</v>
      </c>
      <c r="R10" s="10">
        <f>(((M10*B24)/B27)*P10)/100</f>
        <v>71.877448685962023</v>
      </c>
      <c r="S10" s="10">
        <f>(Q10-R10)+3.5</f>
        <v>5.5191752874422946</v>
      </c>
      <c r="T10" s="10">
        <f>F10-G10</f>
        <v>-1</v>
      </c>
      <c r="U10" s="10">
        <f>S10-1.036*B29</f>
        <v>-4.7282509007641984</v>
      </c>
      <c r="V10" s="10">
        <f>S10+1.036*B29</f>
        <v>15.766601475648788</v>
      </c>
    </row>
    <row r="11" spans="1:22" ht="15">
      <c r="A11" s="17">
        <v>23</v>
      </c>
      <c r="B11" s="11">
        <v>23</v>
      </c>
      <c r="C11" s="12">
        <v>46060</v>
      </c>
      <c r="D11" s="11" t="s">
        <v>43</v>
      </c>
      <c r="E11" s="11" t="s">
        <v>12</v>
      </c>
      <c r="F11" s="11">
        <v>74</v>
      </c>
      <c r="G11" s="11">
        <v>68</v>
      </c>
      <c r="H11" s="11">
        <v>54</v>
      </c>
      <c r="I11" s="11">
        <v>25</v>
      </c>
      <c r="J11" s="11">
        <v>9</v>
      </c>
      <c r="K11" s="18">
        <v>13</v>
      </c>
      <c r="M11" s="26">
        <v>103.6</v>
      </c>
      <c r="N11" s="26">
        <v>97.3</v>
      </c>
      <c r="O11" s="26">
        <v>68.913325</v>
      </c>
      <c r="P11" s="10">
        <f>(C24*O11)/B28</f>
        <v>68.433228835833333</v>
      </c>
      <c r="Q11" s="10">
        <f>(((M11*B24)/B27)*P11)/100</f>
        <v>63.794897864445687</v>
      </c>
      <c r="R11" s="10">
        <f>(((A24*N11)/B27)*P11)/100</f>
        <v>68.655548185470991</v>
      </c>
      <c r="S11" s="35">
        <f>(Q11-R11)+2.5</f>
        <v>-2.3606503210253038</v>
      </c>
      <c r="T11" s="10" t="s">
        <v>81</v>
      </c>
      <c r="U11" s="35">
        <f>S11-1.036*B29</f>
        <v>-12.608076509231797</v>
      </c>
      <c r="V11" s="35">
        <f>S11+1.036*B29</f>
        <v>7.8867758671811892</v>
      </c>
    </row>
    <row r="12" spans="1:22" ht="16">
      <c r="A12" s="17">
        <v>24</v>
      </c>
      <c r="B12" s="11">
        <v>24</v>
      </c>
      <c r="C12" s="12">
        <v>46063</v>
      </c>
      <c r="D12" s="13"/>
      <c r="E12" s="11" t="s">
        <v>18</v>
      </c>
      <c r="F12" s="11">
        <v>75</v>
      </c>
      <c r="G12" s="11">
        <v>66</v>
      </c>
      <c r="H12" s="11">
        <v>62</v>
      </c>
      <c r="I12" s="11">
        <v>23</v>
      </c>
      <c r="J12" s="11">
        <v>8</v>
      </c>
      <c r="K12" s="18">
        <v>8</v>
      </c>
      <c r="M12" s="26">
        <v>128.80000000000001</v>
      </c>
      <c r="N12" s="26">
        <v>107</v>
      </c>
      <c r="O12" s="26">
        <v>71.825850000000003</v>
      </c>
      <c r="P12" s="10">
        <f>(C24*O12)/B28</f>
        <v>71.325463245000009</v>
      </c>
      <c r="Q12" s="10">
        <f>(((A24*N12)/B27)*P12)/100</f>
        <v>78.690833620507021</v>
      </c>
      <c r="R12" s="10">
        <f>(((M12*B24)/B27)*P12)/100</f>
        <v>82.664610465683552</v>
      </c>
      <c r="S12" s="35">
        <f>(Q12-R12)+3.5</f>
        <v>-0.47377684517653051</v>
      </c>
      <c r="T12" s="25" t="s">
        <v>81</v>
      </c>
      <c r="U12" s="35">
        <f>S12-1.036*B29</f>
        <v>-10.721203033383023</v>
      </c>
      <c r="V12" s="35">
        <f>S12+1.036*B29</f>
        <v>9.7736493430299625</v>
      </c>
    </row>
    <row r="13" spans="1:22" ht="14">
      <c r="A13" s="17">
        <v>25</v>
      </c>
      <c r="B13" s="11">
        <v>25</v>
      </c>
      <c r="C13" s="12">
        <v>46067</v>
      </c>
      <c r="D13" s="11" t="s">
        <v>43</v>
      </c>
      <c r="E13" s="11" t="s">
        <v>10</v>
      </c>
      <c r="F13" s="11">
        <v>77</v>
      </c>
      <c r="G13" s="11">
        <v>76</v>
      </c>
      <c r="H13" s="11">
        <v>67</v>
      </c>
      <c r="I13" s="11">
        <v>20</v>
      </c>
      <c r="J13" s="11">
        <v>17</v>
      </c>
      <c r="K13" s="18">
        <v>9</v>
      </c>
      <c r="M13" s="26">
        <v>125.2</v>
      </c>
      <c r="N13" s="26">
        <v>100.9</v>
      </c>
      <c r="O13" s="26">
        <v>71.373625000000004</v>
      </c>
      <c r="P13" s="10">
        <f>(C24*O13)/B28</f>
        <v>70.876388745833339</v>
      </c>
      <c r="Q13" s="10">
        <f>(((M13*B24)/B27)*P13)/100</f>
        <v>79.848188890841314</v>
      </c>
      <c r="R13" s="10">
        <f>(((A24*N13)/B27)*P13)/100</f>
        <v>73.737517993080957</v>
      </c>
      <c r="S13" s="35">
        <f>(Q13-R13)+3.8</f>
        <v>9.9106708977603581</v>
      </c>
      <c r="T13" s="25" t="s">
        <v>81</v>
      </c>
      <c r="U13" s="35">
        <f>S13-1.036*B29</f>
        <v>-0.33675529044613484</v>
      </c>
      <c r="V13" s="35">
        <f>S13+1.036*B29</f>
        <v>20.158097085966851</v>
      </c>
    </row>
    <row r="14" spans="1:22" ht="16">
      <c r="A14" s="17">
        <v>26</v>
      </c>
      <c r="B14" s="11">
        <v>26</v>
      </c>
      <c r="C14" s="12">
        <v>46070</v>
      </c>
      <c r="D14" s="13"/>
      <c r="E14" s="11" t="s">
        <v>9</v>
      </c>
      <c r="F14" s="11">
        <v>67</v>
      </c>
      <c r="G14" s="11">
        <v>66</v>
      </c>
      <c r="H14" s="11">
        <v>61</v>
      </c>
      <c r="I14" s="11">
        <v>13</v>
      </c>
      <c r="J14" s="11">
        <v>11</v>
      </c>
      <c r="K14" s="18">
        <v>9</v>
      </c>
      <c r="M14" s="26">
        <v>115.3</v>
      </c>
      <c r="N14" s="26">
        <v>100.9</v>
      </c>
      <c r="O14" s="26">
        <v>68.663174999999995</v>
      </c>
      <c r="P14" s="10">
        <f>(C24*O14)/B28</f>
        <v>68.184821547499993</v>
      </c>
      <c r="Q14" s="10">
        <f>(((A24*N14)/B27)*P14)/100</f>
        <v>70.937297944787943</v>
      </c>
      <c r="R14" s="10">
        <f>(((M14*B24)/B27)*P14)/100</f>
        <v>70.741811237069712</v>
      </c>
      <c r="S14" s="35">
        <f>(Q14-R14)+3.5</f>
        <v>3.6954867077182314</v>
      </c>
      <c r="T14" s="25" t="s">
        <v>81</v>
      </c>
      <c r="U14" s="35">
        <f>S14-1.036*B29</f>
        <v>-6.5519394804882616</v>
      </c>
      <c r="V14" s="35">
        <f>S14+1.036*B29</f>
        <v>13.942912895924724</v>
      </c>
    </row>
    <row r="15" spans="1:22" ht="14">
      <c r="A15" s="17">
        <v>27</v>
      </c>
      <c r="B15" s="11">
        <v>27</v>
      </c>
      <c r="C15" s="12">
        <v>46074</v>
      </c>
      <c r="D15" s="11" t="s">
        <v>43</v>
      </c>
      <c r="E15" s="11" t="s">
        <v>5</v>
      </c>
      <c r="F15" s="11">
        <v>83</v>
      </c>
      <c r="G15" s="11">
        <v>86</v>
      </c>
      <c r="H15" s="11">
        <v>61</v>
      </c>
      <c r="I15" s="11">
        <v>17</v>
      </c>
      <c r="J15" s="11">
        <v>10</v>
      </c>
      <c r="K15" s="18">
        <v>9</v>
      </c>
      <c r="M15" s="26">
        <v>121.8</v>
      </c>
      <c r="N15" s="26">
        <v>94.7</v>
      </c>
      <c r="O15" s="26">
        <v>66.483699999999999</v>
      </c>
      <c r="P15" s="10">
        <f>(C24*O15)/B28</f>
        <v>66.020530223333338</v>
      </c>
      <c r="Q15" s="10">
        <f>(((M15*B24)/B27)*P15)/100</f>
        <v>72.357816974201072</v>
      </c>
      <c r="R15" s="10">
        <f>(((A24*N15)/B27)*P15)/100</f>
        <v>64.465113897294501</v>
      </c>
      <c r="S15" s="35">
        <f>(Q15-R15)+3.8</f>
        <v>11.692703076906572</v>
      </c>
      <c r="T15" s="25" t="s">
        <v>81</v>
      </c>
      <c r="U15" s="35">
        <f>S15-1.036*B29</f>
        <v>1.4452768887000786</v>
      </c>
      <c r="V15" s="35">
        <f>S15+1.036*B29</f>
        <v>21.940129265113065</v>
      </c>
    </row>
    <row r="16" spans="1:22" ht="16">
      <c r="A16" s="17">
        <v>28</v>
      </c>
      <c r="B16" s="13"/>
      <c r="C16" s="12">
        <v>46077</v>
      </c>
      <c r="D16" s="11" t="s">
        <v>43</v>
      </c>
      <c r="E16" s="11" t="s">
        <v>15</v>
      </c>
      <c r="F16" s="13"/>
      <c r="G16" s="13"/>
      <c r="H16" s="13"/>
      <c r="I16" s="13"/>
      <c r="J16" s="13"/>
      <c r="K16" s="19"/>
      <c r="M16" s="26">
        <v>118</v>
      </c>
      <c r="N16" s="26">
        <v>98.9</v>
      </c>
      <c r="O16" s="26">
        <v>68.945975000000004</v>
      </c>
      <c r="P16" s="10">
        <f>(C25*O16)/B28</f>
        <v>69.474335984501806</v>
      </c>
      <c r="Q16" s="10">
        <f>(((M16*B25)/B27)*P16)/100</f>
        <v>72.634878315817474</v>
      </c>
      <c r="R16" s="10">
        <f>(((A25*N16)/B27)*P16)/100</f>
        <v>71.261530280393274</v>
      </c>
      <c r="S16" s="41">
        <f>(Q16-R16)+2.6</f>
        <v>3.9733480354242006</v>
      </c>
      <c r="T16" s="25" t="s">
        <v>81</v>
      </c>
      <c r="U16" s="41">
        <f>S16-1.036*B29</f>
        <v>-6.2740781527822929</v>
      </c>
      <c r="V16" s="41">
        <f>S16+1.036*B29</f>
        <v>14.220774223630693</v>
      </c>
    </row>
    <row r="17" spans="1:22" ht="16">
      <c r="A17" s="17">
        <v>29</v>
      </c>
      <c r="B17" s="13"/>
      <c r="C17" s="12">
        <v>46081</v>
      </c>
      <c r="D17" s="13"/>
      <c r="E17" s="11" t="s">
        <v>12</v>
      </c>
      <c r="F17" s="13"/>
      <c r="G17" s="13"/>
      <c r="H17" s="13"/>
      <c r="I17" s="13"/>
      <c r="J17" s="13"/>
      <c r="K17" s="19"/>
      <c r="M17" s="26">
        <v>108.3</v>
      </c>
      <c r="N17" s="26">
        <v>103.3</v>
      </c>
      <c r="O17" s="26">
        <v>69.715424999999996</v>
      </c>
      <c r="P17" s="10">
        <f>(C25*O17)/B28</f>
        <v>70.249682592092384</v>
      </c>
      <c r="Q17" s="10">
        <f>(((A25*N17)/B27)*P17)/100</f>
        <v>75.26258589229306</v>
      </c>
      <c r="R17" s="10">
        <f>(((M17*B25)/B27)*P17)/100</f>
        <v>67.408028333043347</v>
      </c>
      <c r="S17" s="41">
        <f>(Q17-R17)+3.5</f>
        <v>11.354557559249713</v>
      </c>
      <c r="T17" s="25" t="s">
        <v>81</v>
      </c>
      <c r="U17" s="41">
        <f>S17-1.036*B29</f>
        <v>1.10713137104322</v>
      </c>
      <c r="V17" s="41">
        <f>S17+1.036*B29</f>
        <v>21.601983747456206</v>
      </c>
    </row>
    <row r="18" spans="1:22" ht="16">
      <c r="A18" s="17">
        <v>30</v>
      </c>
      <c r="B18" s="13"/>
      <c r="C18" s="12">
        <v>46085</v>
      </c>
      <c r="D18" s="11" t="s">
        <v>43</v>
      </c>
      <c r="E18" s="11" t="s">
        <v>13</v>
      </c>
      <c r="F18" s="13"/>
      <c r="G18" s="13"/>
      <c r="H18" s="13"/>
      <c r="I18" s="13"/>
      <c r="J18" s="13"/>
      <c r="K18" s="19"/>
      <c r="M18" s="26">
        <v>129.19999999999999</v>
      </c>
      <c r="N18" s="26">
        <v>106.2</v>
      </c>
      <c r="O18" s="26">
        <v>68.590074999999999</v>
      </c>
      <c r="P18" s="10">
        <f>(C25*O18)/B28</f>
        <v>69.115708578378616</v>
      </c>
      <c r="Q18" s="10">
        <f>(((M18*B25)/B27)*P18)/100</f>
        <v>79.118506360820433</v>
      </c>
      <c r="R18" s="10">
        <f>(((A25*N18)/B27)*P18)/100</f>
        <v>76.126476593088043</v>
      </c>
      <c r="S18" s="41">
        <f>(Q18-R18)+3.3</f>
        <v>6.29202976773239</v>
      </c>
      <c r="T18" s="25" t="s">
        <v>81</v>
      </c>
      <c r="U18" s="41">
        <f>S18-1.036*B29</f>
        <v>-3.955396420474103</v>
      </c>
      <c r="V18" s="41">
        <f>S18+1.036*B29</f>
        <v>16.539455955938884</v>
      </c>
    </row>
    <row r="19" spans="1:22" ht="16">
      <c r="A19" s="20">
        <v>31</v>
      </c>
      <c r="B19" s="21"/>
      <c r="C19" s="22">
        <v>46088</v>
      </c>
      <c r="D19" s="21"/>
      <c r="E19" s="23" t="s">
        <v>7</v>
      </c>
      <c r="F19" s="21"/>
      <c r="G19" s="21"/>
      <c r="H19" s="21"/>
      <c r="I19" s="21"/>
      <c r="J19" s="21"/>
      <c r="K19" s="24"/>
      <c r="M19" s="26">
        <v>125.9</v>
      </c>
      <c r="N19" s="26">
        <v>96.3</v>
      </c>
      <c r="O19" s="26">
        <v>73.021024999999995</v>
      </c>
      <c r="P19" s="10">
        <f>(C25*O19)/B28</f>
        <v>73.580614746295282</v>
      </c>
      <c r="Q19" s="10">
        <f>(((A25*N19)/B27)*P19)/100</f>
        <v>73.489306159602336</v>
      </c>
      <c r="R19" s="10">
        <f>(((M19*B25)/B27)*P19)/100</f>
        <v>82.078222632721065</v>
      </c>
      <c r="S19" s="41">
        <f>(Q19-R19)+3.5</f>
        <v>-5.0889164731187293</v>
      </c>
      <c r="T19" s="25" t="s">
        <v>81</v>
      </c>
      <c r="U19" s="41">
        <f>S19-1.036*B29</f>
        <v>-15.336342661325222</v>
      </c>
      <c r="V19" s="41">
        <f>S19+1.036*B29</f>
        <v>5.1585097150877637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56.853000000000002</v>
      </c>
      <c r="I21" s="34">
        <v>24.628</v>
      </c>
      <c r="J21" s="34">
        <v>10.717000000000001</v>
      </c>
      <c r="K21" s="34">
        <v>10.685</v>
      </c>
      <c r="M21" s="32" t="s">
        <v>82</v>
      </c>
    </row>
    <row r="22" spans="1:22">
      <c r="F22" s="26"/>
      <c r="G22" s="26"/>
      <c r="H22" s="34">
        <v>58.357999999999997</v>
      </c>
      <c r="I22" s="34">
        <v>22.109000000000002</v>
      </c>
      <c r="J22" s="34">
        <v>10.254</v>
      </c>
      <c r="K22" s="34">
        <v>10.923</v>
      </c>
      <c r="M22" s="30">
        <f>(T2-S2)^2</f>
        <v>9.8382109060384551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5.3421613103716359</v>
      </c>
    </row>
    <row r="24" spans="1:22">
      <c r="A24" s="7">
        <v>119.4</v>
      </c>
      <c r="B24">
        <v>104.2</v>
      </c>
      <c r="C24">
        <f>H21-J21+K21+(0.475*I21)</f>
        <v>68.519300000000001</v>
      </c>
      <c r="F24" s="26"/>
      <c r="G24" s="26"/>
      <c r="H24" s="26"/>
      <c r="I24" s="26"/>
      <c r="J24" s="26"/>
      <c r="K24" s="26"/>
      <c r="M24" s="30">
        <f t="shared" si="0"/>
        <v>0.16499909359474815</v>
      </c>
    </row>
    <row r="25" spans="1:22">
      <c r="A25" s="7">
        <v>120.1</v>
      </c>
      <c r="B25">
        <v>102.6</v>
      </c>
      <c r="C25">
        <f>H22-J22+K22+(0.475*I22)</f>
        <v>69.528774999999996</v>
      </c>
      <c r="F25" s="26"/>
      <c r="G25" s="26"/>
      <c r="H25" s="26"/>
      <c r="I25" s="26"/>
      <c r="J25" s="26"/>
      <c r="K25" s="26"/>
      <c r="M25" s="30">
        <f t="shared" si="0"/>
        <v>96.956370935925648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4.3546291275528928E-4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59.459638646220625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110.53887766418087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1.9281642687743858</v>
      </c>
    </row>
    <row r="30" spans="1:22">
      <c r="F30" s="26"/>
      <c r="G30" s="26"/>
      <c r="H30" s="26"/>
      <c r="I30" s="26"/>
      <c r="J30" s="26"/>
      <c r="K30" s="26"/>
      <c r="M30" s="31">
        <f>(T10-S10)^2</f>
        <v>42.499646428398322</v>
      </c>
    </row>
    <row r="31" spans="1:22">
      <c r="F31" s="26"/>
      <c r="G31" s="26"/>
      <c r="H31" s="26"/>
      <c r="I31" s="26"/>
      <c r="J31" s="26"/>
      <c r="K31" s="26"/>
      <c r="L31" s="33" t="s">
        <v>83</v>
      </c>
      <c r="M31" s="29">
        <f>SUM(M22:M30)</f>
        <v>326.72850471641743</v>
      </c>
    </row>
  </sheetData>
  <mergeCells count="1">
    <mergeCell ref="A21:B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3F01-C70F-3E42-8028-BD8D6F1FACC2}">
  <dimension ref="A1:V31"/>
  <sheetViews>
    <sheetView zoomScale="111" zoomScaleNormal="159" workbookViewId="0">
      <pane xSplit="5" topLeftCell="R1" activePane="topRight" state="frozen"/>
      <selection pane="topRight" activeCell="N26" sqref="N26"/>
    </sheetView>
  </sheetViews>
  <sheetFormatPr baseColWidth="10" defaultRowHeight="13"/>
  <cols>
    <col min="1" max="1" width="10.83203125" customWidth="1"/>
    <col min="6" max="11" width="10.83203125" style="26"/>
    <col min="13" max="18" width="10.83203125" style="26"/>
    <col min="19" max="19" width="11.6640625" style="26" bestFit="1" customWidth="1"/>
    <col min="20" max="20" width="10.83203125" style="26"/>
    <col min="21" max="21" width="11.6640625" style="26" bestFit="1" customWidth="1"/>
    <col min="22" max="22" width="10.83203125" style="26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L1" s="8"/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46021</v>
      </c>
      <c r="D2" s="13"/>
      <c r="E2" s="11" t="s">
        <v>15</v>
      </c>
      <c r="F2" s="11">
        <v>79</v>
      </c>
      <c r="G2" s="11">
        <v>66</v>
      </c>
      <c r="H2" s="11">
        <v>68</v>
      </c>
      <c r="I2" s="11">
        <v>20</v>
      </c>
      <c r="J2" s="11">
        <v>14</v>
      </c>
      <c r="K2" s="18">
        <v>8</v>
      </c>
      <c r="L2" s="10"/>
      <c r="M2" s="10">
        <v>116.5</v>
      </c>
      <c r="N2" s="26">
        <v>104.7</v>
      </c>
      <c r="O2" s="10">
        <v>71.247624999999999</v>
      </c>
      <c r="P2" s="10">
        <f>(C24*O2)/B28</f>
        <v>74.165525016032618</v>
      </c>
      <c r="Q2" s="10">
        <f>(((A24*N2)/B27)*P2)/100</f>
        <v>86.368635961157665</v>
      </c>
      <c r="R2" s="10">
        <f>(((M2*B24)/B27)*P2)/100</f>
        <v>79.836817969547042</v>
      </c>
      <c r="S2" s="10">
        <f>(Q2-R2)+3.7</f>
        <v>10.231817991610622</v>
      </c>
      <c r="T2" s="10">
        <f>F2-G2</f>
        <v>13</v>
      </c>
      <c r="U2" s="10">
        <f>S2-1.036*B29</f>
        <v>-1.5608196595870538E-2</v>
      </c>
      <c r="V2" s="10">
        <f>S2+1.036*B29</f>
        <v>20.479244179817115</v>
      </c>
    </row>
    <row r="3" spans="1:22" ht="14">
      <c r="A3" s="17">
        <v>15</v>
      </c>
      <c r="B3" s="11">
        <v>15</v>
      </c>
      <c r="C3" s="12">
        <v>46025</v>
      </c>
      <c r="D3" s="11" t="s">
        <v>43</v>
      </c>
      <c r="E3" s="11" t="s">
        <v>13</v>
      </c>
      <c r="F3" s="11">
        <v>83</v>
      </c>
      <c r="G3" s="11">
        <v>97</v>
      </c>
      <c r="H3" s="11">
        <v>60</v>
      </c>
      <c r="I3" s="11">
        <v>19</v>
      </c>
      <c r="J3" s="11">
        <v>7</v>
      </c>
      <c r="K3" s="18">
        <v>9</v>
      </c>
      <c r="L3" s="10"/>
      <c r="M3" s="10">
        <v>125.9</v>
      </c>
      <c r="N3" s="10">
        <v>104.5</v>
      </c>
      <c r="O3" s="10">
        <v>70.171149999999997</v>
      </c>
      <c r="P3" s="10">
        <f>(C24*O3)/B28</f>
        <v>73.044963684456519</v>
      </c>
      <c r="Q3" s="10">
        <f>(((M3*B24)/B27)*P3)/100</f>
        <v>84.97501030072705</v>
      </c>
      <c r="R3" s="10">
        <f>(((A24*N3)/B27)*P3)/100</f>
        <v>84.901208394413729</v>
      </c>
      <c r="S3" s="10">
        <f>(Q3-R3)+3.3</f>
        <v>3.3738019063133207</v>
      </c>
      <c r="T3" s="10">
        <f>G3-F3</f>
        <v>14</v>
      </c>
      <c r="U3" s="10">
        <f>S3-1.036*B29</f>
        <v>-6.8736242818931723</v>
      </c>
      <c r="V3" s="10">
        <f>S3+1.036*B29</f>
        <v>13.621228094519815</v>
      </c>
    </row>
    <row r="4" spans="1:22" ht="16">
      <c r="A4" s="17">
        <v>16</v>
      </c>
      <c r="B4" s="11">
        <v>16</v>
      </c>
      <c r="C4" s="12">
        <v>46032</v>
      </c>
      <c r="D4" s="13"/>
      <c r="E4" s="11" t="s">
        <v>8</v>
      </c>
      <c r="F4" s="11">
        <v>87</v>
      </c>
      <c r="G4" s="11">
        <v>84</v>
      </c>
      <c r="H4" s="11">
        <v>55</v>
      </c>
      <c r="I4" s="11">
        <v>30</v>
      </c>
      <c r="J4" s="11">
        <v>12</v>
      </c>
      <c r="K4" s="18">
        <v>14</v>
      </c>
      <c r="L4" s="10"/>
      <c r="M4" s="10">
        <v>114.7</v>
      </c>
      <c r="N4" s="10">
        <v>105.6</v>
      </c>
      <c r="O4" s="10">
        <v>70.806899999999999</v>
      </c>
      <c r="P4" s="10">
        <f>(C24*O4)/B28</f>
        <v>73.706750411086958</v>
      </c>
      <c r="Q4" s="10">
        <f>(((A24*N4)/B27)*P4)/100</f>
        <v>86.572206410303011</v>
      </c>
      <c r="R4" s="10">
        <f>(((M4*B24)/B27)*P4)/100</f>
        <v>78.117061927480933</v>
      </c>
      <c r="S4" s="10">
        <f>(Q4-R4)+3.7</f>
        <v>12.155144482822077</v>
      </c>
      <c r="T4" s="10">
        <f>F4-G4</f>
        <v>3</v>
      </c>
      <c r="U4" s="10">
        <f>S4-1.036*B29</f>
        <v>1.9077182946155844</v>
      </c>
      <c r="V4" s="10">
        <f>S4+1.036*B29</f>
        <v>22.40257067102857</v>
      </c>
    </row>
    <row r="5" spans="1:22" ht="14">
      <c r="A5" s="17">
        <v>17</v>
      </c>
      <c r="B5" s="11">
        <v>17</v>
      </c>
      <c r="C5" s="12">
        <v>46036</v>
      </c>
      <c r="D5" s="11" t="s">
        <v>43</v>
      </c>
      <c r="E5" s="11" t="s">
        <v>22</v>
      </c>
      <c r="F5" s="11">
        <v>90</v>
      </c>
      <c r="G5" s="11">
        <v>95</v>
      </c>
      <c r="H5" s="11">
        <v>55</v>
      </c>
      <c r="I5" s="11">
        <v>32</v>
      </c>
      <c r="J5" s="11">
        <v>7</v>
      </c>
      <c r="K5" s="18">
        <v>11</v>
      </c>
      <c r="L5" s="10"/>
      <c r="M5" s="10">
        <v>111.6</v>
      </c>
      <c r="N5" s="10">
        <v>103.8</v>
      </c>
      <c r="O5" s="10">
        <v>62.672174999999996</v>
      </c>
      <c r="P5" s="10">
        <f>(C24*O5)/B28</f>
        <v>65.238873053967382</v>
      </c>
      <c r="Q5" s="10">
        <f>(((M5*B24)/B27)*P5)/100</f>
        <v>67.273785052852787</v>
      </c>
      <c r="R5" s="10">
        <f>(((A24*N5)/B27)*P5)/100</f>
        <v>75.320138079674763</v>
      </c>
      <c r="S5" s="10">
        <f>(Q5-R5)+2.3</f>
        <v>-5.7463530268219758</v>
      </c>
      <c r="T5" s="10">
        <f>G5-F5</f>
        <v>5</v>
      </c>
      <c r="U5" s="10">
        <f>S5-1.036*B29</f>
        <v>-15.993779215028468</v>
      </c>
      <c r="V5" s="10">
        <f>S5+1.036*B29</f>
        <v>4.5010731613845172</v>
      </c>
    </row>
    <row r="6" spans="1:22" ht="14">
      <c r="A6" s="17">
        <v>18</v>
      </c>
      <c r="B6" s="11">
        <v>18</v>
      </c>
      <c r="C6" s="12">
        <v>46039</v>
      </c>
      <c r="D6" s="11" t="s">
        <v>43</v>
      </c>
      <c r="E6" s="11" t="s">
        <v>20</v>
      </c>
      <c r="F6" s="11">
        <v>78</v>
      </c>
      <c r="G6" s="11">
        <v>84</v>
      </c>
      <c r="H6" s="11">
        <v>56</v>
      </c>
      <c r="I6" s="11">
        <v>28</v>
      </c>
      <c r="J6" s="11">
        <v>6</v>
      </c>
      <c r="K6" s="18">
        <v>11</v>
      </c>
      <c r="L6" s="10"/>
      <c r="M6" s="10">
        <v>114.8</v>
      </c>
      <c r="N6" s="10">
        <v>103</v>
      </c>
      <c r="O6" s="10">
        <v>70.069299999999998</v>
      </c>
      <c r="P6" s="10">
        <f>(C24*O6)/B28</f>
        <v>72.938942484130436</v>
      </c>
      <c r="Q6" s="10">
        <f>(((M6*B24)/B27)*P6)/100</f>
        <v>77.370707590506456</v>
      </c>
      <c r="R6" s="10">
        <f>(((A24*N6)/B27)*P6)/100</f>
        <v>83.561069652112963</v>
      </c>
      <c r="S6" s="10">
        <f>(Q6-R6)+2.8</f>
        <v>-3.3903620616065071</v>
      </c>
      <c r="T6" s="10">
        <f>G6-F6</f>
        <v>6</v>
      </c>
      <c r="U6" s="10">
        <f>S6-1.036*B29</f>
        <v>-13.637788249812999</v>
      </c>
      <c r="V6" s="10">
        <f>S6+1.036*B29</f>
        <v>6.8570641265999859</v>
      </c>
    </row>
    <row r="7" spans="1:22" ht="16">
      <c r="A7" s="17">
        <v>19</v>
      </c>
      <c r="B7" s="11">
        <v>19</v>
      </c>
      <c r="C7" s="12">
        <v>46043</v>
      </c>
      <c r="D7" s="13"/>
      <c r="E7" s="11" t="s">
        <v>16</v>
      </c>
      <c r="F7" s="11">
        <v>91</v>
      </c>
      <c r="G7" s="11">
        <v>69</v>
      </c>
      <c r="H7" s="11">
        <v>61</v>
      </c>
      <c r="I7" s="11">
        <v>23</v>
      </c>
      <c r="J7" s="11">
        <v>8</v>
      </c>
      <c r="K7" s="18">
        <v>8</v>
      </c>
      <c r="L7" s="9"/>
      <c r="M7" s="27">
        <v>113.1</v>
      </c>
      <c r="N7" s="27">
        <v>105.6</v>
      </c>
      <c r="O7" s="27">
        <v>64.468800000000002</v>
      </c>
      <c r="P7" s="10">
        <f>(C24*O7)/B28</f>
        <v>67.109077659130435</v>
      </c>
      <c r="Q7" s="10">
        <f>(((A24*N7)/B27)*P7)/100</f>
        <v>78.822915007217418</v>
      </c>
      <c r="R7" s="10">
        <f>(((M7*B24)/B27)*P7)/100</f>
        <v>70.132463308074151</v>
      </c>
      <c r="S7" s="10">
        <f>(Q7-R7)+3.7</f>
        <v>12.390451699143266</v>
      </c>
      <c r="T7" s="10">
        <f>F7-G7</f>
        <v>22</v>
      </c>
      <c r="U7" s="10">
        <f>S7-1.036*B29</f>
        <v>2.1430255109367735</v>
      </c>
      <c r="V7" s="10">
        <f>S7+1.036*B29</f>
        <v>22.637877887349759</v>
      </c>
    </row>
    <row r="8" spans="1:22" ht="14">
      <c r="A8" s="17">
        <v>20</v>
      </c>
      <c r="B8" s="11">
        <v>20</v>
      </c>
      <c r="C8" s="12">
        <v>46046</v>
      </c>
      <c r="D8" s="11" t="s">
        <v>43</v>
      </c>
      <c r="E8" s="11" t="s">
        <v>5</v>
      </c>
      <c r="F8" s="11">
        <v>85</v>
      </c>
      <c r="G8" s="11">
        <v>80</v>
      </c>
      <c r="H8" s="11">
        <v>61</v>
      </c>
      <c r="I8" s="11">
        <v>22</v>
      </c>
      <c r="J8" s="11">
        <v>8</v>
      </c>
      <c r="K8" s="18">
        <v>4</v>
      </c>
      <c r="L8" s="9"/>
      <c r="M8" s="27">
        <v>121.8</v>
      </c>
      <c r="N8" s="27">
        <v>94.7</v>
      </c>
      <c r="O8" s="27">
        <v>66.483699999999999</v>
      </c>
      <c r="P8" s="10">
        <f>(C24*O8)/B28</f>
        <v>69.206496574565222</v>
      </c>
      <c r="Q8" s="10">
        <f>(((M8*B24)/B27)*P8)/100</f>
        <v>77.887788191509401</v>
      </c>
      <c r="R8" s="10">
        <f>(((A24*N8)/B27)*P8)/100</f>
        <v>72.896075393673485</v>
      </c>
      <c r="S8" s="10">
        <f>(Q8-R8)+3.8</f>
        <v>8.7917127978359169</v>
      </c>
      <c r="T8" s="10">
        <f>G8-F8</f>
        <v>-5</v>
      </c>
      <c r="U8" s="10">
        <f>S8-1.036*B29</f>
        <v>-1.4557133903705761</v>
      </c>
      <c r="V8" s="10">
        <f>S8+1.036*B29</f>
        <v>19.03913898604241</v>
      </c>
    </row>
    <row r="9" spans="1:22" ht="14">
      <c r="A9" s="17">
        <v>21</v>
      </c>
      <c r="B9" s="11">
        <v>21</v>
      </c>
      <c r="C9" s="12">
        <v>46053</v>
      </c>
      <c r="D9" s="11" t="s">
        <v>43</v>
      </c>
      <c r="E9" s="11" t="s">
        <v>21</v>
      </c>
      <c r="F9" s="11">
        <v>91</v>
      </c>
      <c r="G9" s="11">
        <v>75</v>
      </c>
      <c r="H9" s="11">
        <v>79</v>
      </c>
      <c r="I9" s="11">
        <v>12</v>
      </c>
      <c r="J9" s="11">
        <v>12</v>
      </c>
      <c r="K9" s="18">
        <v>2</v>
      </c>
      <c r="L9" s="9"/>
      <c r="M9" s="27">
        <v>109.3</v>
      </c>
      <c r="N9" s="27">
        <v>104.7</v>
      </c>
      <c r="O9" s="27">
        <v>72.415624999999991</v>
      </c>
      <c r="P9" s="10">
        <f>(C24*O9)/B28</f>
        <v>75.381359694293465</v>
      </c>
      <c r="Q9" s="10">
        <f>(((M9*B24)/B27)*P9)/100</f>
        <v>76.130616559648658</v>
      </c>
      <c r="R9" s="10">
        <f>(((A24*N9)/B27)*P9)/100</f>
        <v>87.784522691454015</v>
      </c>
      <c r="S9" s="10">
        <f>(Q9-R9)+2.4</f>
        <v>-9.2539061318053566</v>
      </c>
      <c r="T9" s="10">
        <f>G9-F9</f>
        <v>-16</v>
      </c>
      <c r="U9" s="10">
        <f>S9-1.036*B29</f>
        <v>-19.501332320011848</v>
      </c>
      <c r="V9" s="10">
        <f>S9+1.036*B29</f>
        <v>0.99352005640113639</v>
      </c>
    </row>
    <row r="10" spans="1:22" ht="16">
      <c r="A10" s="17">
        <v>22</v>
      </c>
      <c r="B10" s="11">
        <v>22</v>
      </c>
      <c r="C10" s="12">
        <v>46055</v>
      </c>
      <c r="D10" s="13"/>
      <c r="E10" s="11" t="s">
        <v>4</v>
      </c>
      <c r="F10" s="11">
        <v>87</v>
      </c>
      <c r="G10" s="11">
        <v>77</v>
      </c>
      <c r="H10" s="11">
        <v>56</v>
      </c>
      <c r="I10" s="11">
        <v>35</v>
      </c>
      <c r="J10" s="11">
        <v>11</v>
      </c>
      <c r="K10" s="18">
        <v>11</v>
      </c>
      <c r="L10" s="9"/>
      <c r="M10" s="27">
        <v>117.2</v>
      </c>
      <c r="N10" s="27">
        <v>104.5</v>
      </c>
      <c r="O10" s="27">
        <v>69.786749999999998</v>
      </c>
      <c r="P10" s="10">
        <f>(C24*O10)/B28</f>
        <v>72.644820833152181</v>
      </c>
      <c r="Q10" s="10">
        <f>(((A24*N10)/B27)*P10)/100</f>
        <v>84.436116622270731</v>
      </c>
      <c r="R10" s="10">
        <f>(((M10*B24)/B27)*P10)/100</f>
        <v>78.669698719867156</v>
      </c>
      <c r="S10" s="10">
        <f>(Q10-R10)+3.7</f>
        <v>9.4664179024035739</v>
      </c>
      <c r="T10" s="10">
        <f>F10-G10</f>
        <v>10</v>
      </c>
      <c r="U10" s="10">
        <f>S10-1.036*B29</f>
        <v>-0.78100828580291903</v>
      </c>
      <c r="V10" s="10">
        <f>S10+1.036*B29</f>
        <v>19.713844090610067</v>
      </c>
    </row>
    <row r="11" spans="1:22" ht="16">
      <c r="A11" s="17">
        <v>23</v>
      </c>
      <c r="B11" s="11">
        <v>23</v>
      </c>
      <c r="C11" s="12">
        <v>46060</v>
      </c>
      <c r="D11" s="13"/>
      <c r="E11" s="11" t="s">
        <v>17</v>
      </c>
      <c r="F11" s="11">
        <v>71</v>
      </c>
      <c r="G11" s="11">
        <v>68</v>
      </c>
      <c r="H11" s="11">
        <v>55</v>
      </c>
      <c r="I11" s="11">
        <v>14</v>
      </c>
      <c r="J11" s="11">
        <v>3</v>
      </c>
      <c r="K11" s="18">
        <v>7</v>
      </c>
      <c r="M11" s="26">
        <v>126.9</v>
      </c>
      <c r="N11" s="26">
        <v>94.6</v>
      </c>
      <c r="O11" s="26">
        <v>71.7059</v>
      </c>
      <c r="P11" s="10">
        <f>(C24*O11)/B28</f>
        <v>74.642568369782609</v>
      </c>
      <c r="Q11" s="10">
        <f>(((A24*N11)/B27)*P11)/100</f>
        <v>78.538936221955851</v>
      </c>
      <c r="R11" s="10">
        <f>(((M11*B24)/B27)*P11)/100</f>
        <v>87.523245776806505</v>
      </c>
      <c r="S11" s="35">
        <f>(Q11-R11)+3.7</f>
        <v>-5.2843095548506538</v>
      </c>
      <c r="T11" s="25" t="s">
        <v>81</v>
      </c>
      <c r="U11" s="35">
        <f>S11-1.036*B29</f>
        <v>-15.531735743057148</v>
      </c>
      <c r="V11" s="35">
        <f>S11+1.036*B29</f>
        <v>4.9631166333558392</v>
      </c>
    </row>
    <row r="12" spans="1:22" ht="14">
      <c r="A12" s="17">
        <v>24</v>
      </c>
      <c r="B12" s="11">
        <v>24</v>
      </c>
      <c r="C12" s="12">
        <v>46063</v>
      </c>
      <c r="D12" s="11" t="s">
        <v>43</v>
      </c>
      <c r="E12" s="11" t="s">
        <v>46</v>
      </c>
      <c r="F12" s="11">
        <v>66</v>
      </c>
      <c r="G12" s="11">
        <v>75</v>
      </c>
      <c r="H12" s="11">
        <v>63</v>
      </c>
      <c r="I12" s="11">
        <v>10</v>
      </c>
      <c r="J12" s="11">
        <v>5</v>
      </c>
      <c r="K12" s="18">
        <v>10</v>
      </c>
      <c r="M12" s="26">
        <v>119.4</v>
      </c>
      <c r="N12" s="26">
        <v>104.2</v>
      </c>
      <c r="O12" s="26">
        <v>68.519300000000001</v>
      </c>
      <c r="P12" s="10">
        <f>(C24*O12)/B28</f>
        <v>71.325463245000009</v>
      </c>
      <c r="Q12" s="10">
        <f>(((M12*B24)/B27)*P12)/100</f>
        <v>78.690833620507021</v>
      </c>
      <c r="R12" s="10">
        <f>(((A24*N12)/B27)*P12)/100</f>
        <v>82.664610465683552</v>
      </c>
      <c r="S12" s="35">
        <f>(Q12-R12)+3.5</f>
        <v>-0.47377684517653051</v>
      </c>
      <c r="T12" s="25" t="s">
        <v>81</v>
      </c>
      <c r="U12" s="35">
        <f>S12-1.036*B29</f>
        <v>-10.721203033383023</v>
      </c>
      <c r="V12" s="35">
        <f>S12+1.036*B29</f>
        <v>9.7736493430299625</v>
      </c>
    </row>
    <row r="13" spans="1:22" ht="16">
      <c r="A13" s="17">
        <v>25</v>
      </c>
      <c r="B13" s="11">
        <v>25</v>
      </c>
      <c r="C13" s="12">
        <v>46067</v>
      </c>
      <c r="D13" s="13"/>
      <c r="E13" s="11" t="s">
        <v>48</v>
      </c>
      <c r="F13" s="11">
        <v>79</v>
      </c>
      <c r="G13" s="11">
        <v>65</v>
      </c>
      <c r="H13" s="11">
        <v>60</v>
      </c>
      <c r="I13" s="11">
        <v>17</v>
      </c>
      <c r="J13" s="11">
        <v>5</v>
      </c>
      <c r="K13" s="18">
        <v>4</v>
      </c>
      <c r="M13" s="26">
        <v>111.6</v>
      </c>
      <c r="N13" s="26">
        <v>107.1</v>
      </c>
      <c r="O13" s="26">
        <v>66.7727</v>
      </c>
      <c r="P13" s="10">
        <f>(C24*O13)/B28</f>
        <v>69.507332381086954</v>
      </c>
      <c r="Q13" s="10">
        <f>(((A24*N13)/B27)*P13)/100</f>
        <v>82.799439238709553</v>
      </c>
      <c r="R13" s="10">
        <f>(((M13*B24)/B27)*P13)/100</f>
        <v>71.675384924787167</v>
      </c>
      <c r="S13" s="35">
        <f>(Q13-R13)+3.7</f>
        <v>14.824054313922385</v>
      </c>
      <c r="T13" s="25" t="s">
        <v>81</v>
      </c>
      <c r="U13" s="35">
        <f>S13-1.036*B29</f>
        <v>4.5766281257158923</v>
      </c>
      <c r="V13" s="35">
        <f>S13+1.036*B29</f>
        <v>25.071480502128878</v>
      </c>
    </row>
    <row r="14" spans="1:22" ht="14">
      <c r="A14" s="17">
        <v>26</v>
      </c>
      <c r="B14" s="11">
        <v>26</v>
      </c>
      <c r="C14" s="12">
        <v>46070</v>
      </c>
      <c r="D14" s="11" t="s">
        <v>43</v>
      </c>
      <c r="E14" s="11" t="s">
        <v>10</v>
      </c>
      <c r="F14" s="11">
        <v>58</v>
      </c>
      <c r="G14" s="11">
        <v>82</v>
      </c>
      <c r="H14" s="11">
        <v>60</v>
      </c>
      <c r="I14" s="11">
        <v>21</v>
      </c>
      <c r="J14" s="11">
        <v>15</v>
      </c>
      <c r="K14" s="18">
        <v>12</v>
      </c>
      <c r="M14" s="26">
        <v>125.2</v>
      </c>
      <c r="N14" s="26">
        <v>100.9</v>
      </c>
      <c r="O14" s="26">
        <v>71.373625000000004</v>
      </c>
      <c r="P14" s="10">
        <f>(C24*O14)/B28</f>
        <v>74.296685263858706</v>
      </c>
      <c r="Q14" s="10">
        <f>(((M14*B24)/B27)*P14)/100</f>
        <v>85.950614375540297</v>
      </c>
      <c r="R14" s="10">
        <f>(((A24*N14)/B27)*P14)/100</f>
        <v>83.381155263755332</v>
      </c>
      <c r="S14" s="35">
        <f>(Q14-R14)+3.8</f>
        <v>6.3694591117849653</v>
      </c>
      <c r="T14" s="25" t="s">
        <v>81</v>
      </c>
      <c r="U14" s="35">
        <f>S14-1.036*B29</f>
        <v>-3.8779670764215277</v>
      </c>
      <c r="V14" s="35">
        <f>S14+1.036*B29</f>
        <v>16.616885299991459</v>
      </c>
    </row>
    <row r="15" spans="1:22" ht="14">
      <c r="A15" s="17">
        <v>27</v>
      </c>
      <c r="B15" s="11">
        <v>27</v>
      </c>
      <c r="C15" s="12">
        <v>46074</v>
      </c>
      <c r="D15" s="11" t="s">
        <v>43</v>
      </c>
      <c r="E15" s="11" t="s">
        <v>4</v>
      </c>
      <c r="F15" s="11">
        <v>77</v>
      </c>
      <c r="G15" s="11">
        <v>64</v>
      </c>
      <c r="H15" s="11">
        <v>54</v>
      </c>
      <c r="I15" s="11">
        <v>28</v>
      </c>
      <c r="J15" s="11">
        <v>7</v>
      </c>
      <c r="K15" s="18">
        <v>10</v>
      </c>
      <c r="M15" s="26">
        <v>117.2</v>
      </c>
      <c r="N15" s="26">
        <v>104.5</v>
      </c>
      <c r="O15" s="26">
        <v>69.786749999999998</v>
      </c>
      <c r="P15" s="10">
        <f>(C24*O15)/B28</f>
        <v>72.644820833152181</v>
      </c>
      <c r="Q15" s="10">
        <f>(((M15*B24)/B27)*P15)/100</f>
        <v>78.669698719867156</v>
      </c>
      <c r="R15" s="10">
        <f>(((A24*N15)/B27)*P15)/100</f>
        <v>84.436116622270731</v>
      </c>
      <c r="S15" s="35">
        <f>(Q15-R15)+3.1</f>
        <v>-2.6664179024035746</v>
      </c>
      <c r="T15" s="25" t="s">
        <v>81</v>
      </c>
      <c r="U15" s="35">
        <f>S15-1.036*B29</f>
        <v>-12.913844090610068</v>
      </c>
      <c r="V15" s="35">
        <f>S15+1.036*B29</f>
        <v>7.581008285802918</v>
      </c>
    </row>
    <row r="16" spans="1:22" ht="16">
      <c r="A16" s="17">
        <v>28</v>
      </c>
      <c r="B16" s="13"/>
      <c r="C16" s="12">
        <v>46076</v>
      </c>
      <c r="D16" s="13"/>
      <c r="E16" s="11" t="s">
        <v>7</v>
      </c>
      <c r="F16" s="13"/>
      <c r="G16" s="13"/>
      <c r="H16" s="13"/>
      <c r="I16" s="13"/>
      <c r="J16" s="13"/>
      <c r="K16" s="19"/>
      <c r="M16" s="26">
        <v>122.3</v>
      </c>
      <c r="N16" s="26">
        <v>98.9</v>
      </c>
      <c r="O16" s="26">
        <v>71.274299999999997</v>
      </c>
      <c r="P16" s="10">
        <f>(C24*O16)/B28</f>
        <v>74.193292473260868</v>
      </c>
      <c r="Q16" s="10">
        <f>(((A24*N16)/B27)*P16)/100</f>
        <v>81.614671967011105</v>
      </c>
      <c r="R16" s="10">
        <f>(((M16*B24)/B27)*P16)/100</f>
        <v>83.842905408837581</v>
      </c>
      <c r="S16" s="35">
        <f>(Q16-R16)+3.7</f>
        <v>1.4717665581735249</v>
      </c>
      <c r="T16" s="25" t="s">
        <v>81</v>
      </c>
      <c r="U16" s="35">
        <f>S16-1.036*B29</f>
        <v>-8.775659630032969</v>
      </c>
      <c r="V16" s="35">
        <f>S16+1.036*B29</f>
        <v>11.719192746380017</v>
      </c>
    </row>
    <row r="17" spans="1:22" ht="16">
      <c r="A17" s="17">
        <v>29</v>
      </c>
      <c r="B17" s="13"/>
      <c r="C17" s="12">
        <v>46081</v>
      </c>
      <c r="D17" s="13"/>
      <c r="E17" s="11" t="s">
        <v>9</v>
      </c>
      <c r="F17" s="13"/>
      <c r="G17" s="13"/>
      <c r="H17" s="13"/>
      <c r="I17" s="13"/>
      <c r="J17" s="13"/>
      <c r="K17" s="19"/>
      <c r="M17" s="26">
        <v>118.6</v>
      </c>
      <c r="N17" s="26">
        <v>103</v>
      </c>
      <c r="O17" s="26">
        <v>68.6357</v>
      </c>
      <c r="P17" s="10">
        <f>(C25*O17)/B28</f>
        <v>67.092117922210136</v>
      </c>
      <c r="Q17" s="10">
        <f>(((A25*N17)/B27)*P17)/100</f>
        <v>72.745121329524522</v>
      </c>
      <c r="R17" s="10">
        <f>(((M17*B25)/B27)*P17)/100</f>
        <v>69.607666778813339</v>
      </c>
      <c r="S17" s="41">
        <f>(Q17-R17)+3.7</f>
        <v>6.8374545507111835</v>
      </c>
      <c r="T17" s="25" t="s">
        <v>81</v>
      </c>
      <c r="U17" s="41">
        <f>S17-1.036*B29</f>
        <v>-3.4099716374953095</v>
      </c>
      <c r="V17" s="41">
        <f>S17+1.036*B29</f>
        <v>17.084880738917676</v>
      </c>
    </row>
    <row r="18" spans="1:22" ht="16">
      <c r="A18" s="17">
        <v>30</v>
      </c>
      <c r="B18" s="13"/>
      <c r="C18" s="12">
        <v>46084</v>
      </c>
      <c r="D18" s="13"/>
      <c r="E18" s="11" t="s">
        <v>19</v>
      </c>
      <c r="F18" s="13"/>
      <c r="G18" s="13"/>
      <c r="H18" s="13"/>
      <c r="I18" s="13"/>
      <c r="J18" s="13"/>
      <c r="K18" s="19"/>
      <c r="M18" s="26">
        <v>114.6</v>
      </c>
      <c r="N18" s="26">
        <v>98.2</v>
      </c>
      <c r="O18" s="26">
        <v>63.329174999999999</v>
      </c>
      <c r="P18" s="10">
        <f>(C25*O18)/B28</f>
        <v>61.904933977744555</v>
      </c>
      <c r="Q18" s="10">
        <f>(((A25*N18)/B27)*P18)/100</f>
        <v>63.992915766434322</v>
      </c>
      <c r="R18" s="10">
        <f>(((M18*B25)/B27)*P18)/100</f>
        <v>62.059856688165546</v>
      </c>
      <c r="S18" s="41">
        <f>(Q18-R18)+3.7</f>
        <v>5.6330590782687766</v>
      </c>
      <c r="T18" s="25" t="s">
        <v>81</v>
      </c>
      <c r="U18" s="41">
        <f>S18-1.036*B29</f>
        <v>-4.6143671099377164</v>
      </c>
      <c r="V18" s="41">
        <f>S18+1.036*B29</f>
        <v>15.880485266475269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17</v>
      </c>
      <c r="F19" s="21"/>
      <c r="G19" s="21"/>
      <c r="H19" s="21"/>
      <c r="I19" s="21"/>
      <c r="J19" s="21"/>
      <c r="K19" s="24"/>
      <c r="M19" s="26">
        <v>129.6</v>
      </c>
      <c r="N19" s="26">
        <v>89.5</v>
      </c>
      <c r="O19" s="26">
        <v>64.04657499999999</v>
      </c>
      <c r="P19" s="10">
        <f>(C25*O19)/B28</f>
        <v>62.606200015643097</v>
      </c>
      <c r="Q19" s="10">
        <f>(((M19*B25)/B27)*P19)/100</f>
        <v>70.977914057113125</v>
      </c>
      <c r="R19" s="10">
        <f>(((A25*N19)/B27)*P19)/100</f>
        <v>58.984177243580923</v>
      </c>
      <c r="S19" s="41">
        <f>(Q19-R19)+4.5</f>
        <v>16.493736813532202</v>
      </c>
      <c r="T19" s="25" t="s">
        <v>81</v>
      </c>
      <c r="U19" s="41">
        <f>S19-1.036*B29</f>
        <v>6.2463106253257088</v>
      </c>
      <c r="V19" s="41">
        <f>S19+1.036*B29</f>
        <v>26.741163001738695</v>
      </c>
    </row>
    <row r="20" spans="1:22">
      <c r="E20" s="7"/>
    </row>
    <row r="21" spans="1:22" ht="14">
      <c r="A21" s="42" t="s">
        <v>44</v>
      </c>
      <c r="B21" s="43"/>
      <c r="C21" s="7" t="s">
        <v>47</v>
      </c>
      <c r="H21" s="34">
        <v>63.491</v>
      </c>
      <c r="I21" s="34">
        <v>22.686</v>
      </c>
      <c r="J21" s="34">
        <v>11.14</v>
      </c>
      <c r="K21" s="34">
        <v>8.6989999999999998</v>
      </c>
      <c r="M21" s="32" t="s">
        <v>82</v>
      </c>
    </row>
    <row r="22" spans="1:22">
      <c r="H22" s="34">
        <v>57.476999999999997</v>
      </c>
      <c r="I22" s="34">
        <v>15.491</v>
      </c>
      <c r="J22" s="34">
        <v>5.202</v>
      </c>
      <c r="K22" s="34">
        <v>7.8150000000000004</v>
      </c>
      <c r="M22" s="30">
        <f>(T2-S2)^2</f>
        <v>7.662831631570648</v>
      </c>
    </row>
    <row r="23" spans="1:22">
      <c r="A23" s="7" t="s">
        <v>67</v>
      </c>
      <c r="B23" s="7" t="s">
        <v>68</v>
      </c>
      <c r="C23" s="7" t="s">
        <v>45</v>
      </c>
      <c r="M23" s="30">
        <f t="shared" ref="M23:M30" si="0">(T3-S3)^2</f>
        <v>112.9160859262704</v>
      </c>
    </row>
    <row r="24" spans="1:22">
      <c r="A24" s="7">
        <v>128.80000000000001</v>
      </c>
      <c r="B24">
        <v>107</v>
      </c>
      <c r="C24">
        <f>H21-J21+K21+(0.475*I21)</f>
        <v>71.825850000000003</v>
      </c>
      <c r="M24" s="30">
        <f t="shared" si="0"/>
        <v>83.816670501347517</v>
      </c>
    </row>
    <row r="25" spans="1:22">
      <c r="A25" s="7">
        <v>121.9</v>
      </c>
      <c r="B25">
        <v>101.3</v>
      </c>
      <c r="C25">
        <f>H22-J22+K22+(0.475*I22)</f>
        <v>67.448224999999994</v>
      </c>
      <c r="M25" s="30">
        <f t="shared" si="0"/>
        <v>115.48410337708582</v>
      </c>
    </row>
    <row r="26" spans="1:22">
      <c r="M26" s="30">
        <f t="shared" si="0"/>
        <v>88.178899648058788</v>
      </c>
    </row>
    <row r="27" spans="1:22">
      <c r="A27" s="7" t="s">
        <v>78</v>
      </c>
      <c r="B27">
        <v>115.8</v>
      </c>
      <c r="E27" s="7"/>
      <c r="M27" s="30">
        <f t="shared" si="0"/>
        <v>92.34341854649854</v>
      </c>
    </row>
    <row r="28" spans="1:22">
      <c r="A28" s="7" t="s">
        <v>79</v>
      </c>
      <c r="B28">
        <v>69</v>
      </c>
      <c r="M28" s="30">
        <f t="shared" si="0"/>
        <v>190.21134189799102</v>
      </c>
    </row>
    <row r="29" spans="1:22">
      <c r="A29" s="7" t="s">
        <v>84</v>
      </c>
      <c r="B29">
        <v>9.891338019504337</v>
      </c>
      <c r="M29" s="30">
        <f t="shared" si="0"/>
        <v>45.509782478493364</v>
      </c>
    </row>
    <row r="30" spans="1:22">
      <c r="M30" s="31">
        <f t="shared" si="0"/>
        <v>0.28470985487540196</v>
      </c>
    </row>
    <row r="31" spans="1:22">
      <c r="L31" s="33" t="s">
        <v>83</v>
      </c>
      <c r="M31" s="29">
        <f>SUM(M22:M30)</f>
        <v>736.40784386219138</v>
      </c>
    </row>
  </sheetData>
  <mergeCells count="1">
    <mergeCell ref="A21:B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4C92-C444-1E48-A515-78C2238E3C91}">
  <dimension ref="A1:V32"/>
  <sheetViews>
    <sheetView zoomScale="110" workbookViewId="0">
      <pane xSplit="5" topLeftCell="R1" activePane="topRight" state="frozen"/>
      <selection pane="topRight" activeCell="N25" sqref="N25"/>
    </sheetView>
  </sheetViews>
  <sheetFormatPr baseColWidth="10" defaultRowHeight="13"/>
  <cols>
    <col min="21" max="21" width="12.1640625" bestFit="1" customWidth="1"/>
    <col min="22" max="22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46022</v>
      </c>
      <c r="D2" s="13"/>
      <c r="E2" s="11" t="s">
        <v>8</v>
      </c>
      <c r="F2" s="11">
        <v>70</v>
      </c>
      <c r="G2" s="11">
        <v>57</v>
      </c>
      <c r="H2" s="11">
        <v>59</v>
      </c>
      <c r="I2" s="11">
        <v>17</v>
      </c>
      <c r="J2" s="11">
        <v>8</v>
      </c>
      <c r="K2" s="18">
        <v>15</v>
      </c>
      <c r="M2" s="10">
        <v>114.7</v>
      </c>
      <c r="N2" s="26">
        <v>105.6</v>
      </c>
      <c r="O2" s="10">
        <v>70.806899999999999</v>
      </c>
      <c r="P2" s="10">
        <f>(C24*O2)/B28</f>
        <v>73.242683014673915</v>
      </c>
      <c r="Q2" s="10">
        <f>(((A24*N2)/B27)*P2)/100</f>
        <v>83.622651231344165</v>
      </c>
      <c r="R2" s="10">
        <f>(((M2*B24)/B27)*P2)/100</f>
        <v>73.199863242306961</v>
      </c>
      <c r="S2" s="10">
        <f>(Q2-R2)+3.8</f>
        <v>14.222787989037204</v>
      </c>
      <c r="T2" s="10">
        <f>F2-G2</f>
        <v>13</v>
      </c>
      <c r="U2" s="10">
        <f>S2-1.036*B29</f>
        <v>3.9753618008307114</v>
      </c>
      <c r="V2" s="10">
        <f>S2+1.036*B29</f>
        <v>24.470214177243697</v>
      </c>
    </row>
    <row r="3" spans="1:22" ht="16">
      <c r="A3" s="17">
        <v>15</v>
      </c>
      <c r="B3" s="11">
        <v>15</v>
      </c>
      <c r="C3" s="12">
        <v>46025</v>
      </c>
      <c r="D3" s="13"/>
      <c r="E3" s="11" t="s">
        <v>5</v>
      </c>
      <c r="F3" s="11">
        <v>61</v>
      </c>
      <c r="G3" s="11">
        <v>76</v>
      </c>
      <c r="H3" s="11">
        <v>50</v>
      </c>
      <c r="I3" s="11">
        <v>25</v>
      </c>
      <c r="J3" s="11">
        <v>5</v>
      </c>
      <c r="K3" s="18">
        <v>10</v>
      </c>
      <c r="M3" s="10">
        <v>121.8</v>
      </c>
      <c r="N3" s="10">
        <v>94.7</v>
      </c>
      <c r="O3" s="10">
        <v>66.483699999999999</v>
      </c>
      <c r="P3" s="10">
        <f>(C24*O3)/B28</f>
        <v>68.770763368297111</v>
      </c>
      <c r="Q3" s="10">
        <f>(((A24*N3)/B27)*P3)/100</f>
        <v>70.412472334232518</v>
      </c>
      <c r="R3" s="10">
        <f>(((M3*B24)/B27)*P3)/100</f>
        <v>72.985021494498412</v>
      </c>
      <c r="S3" s="10">
        <f>(Q3-R3)+3.8</f>
        <v>1.2274508397341064</v>
      </c>
      <c r="T3" s="10">
        <f>F3-G3</f>
        <v>-15</v>
      </c>
      <c r="U3" s="10">
        <f>S3-1.036*B29</f>
        <v>-9.0199753484723857</v>
      </c>
      <c r="V3" s="10">
        <f>S3+1.036*B29</f>
        <v>11.4748770279406</v>
      </c>
    </row>
    <row r="4" spans="1:22" ht="14">
      <c r="A4" s="17">
        <v>16</v>
      </c>
      <c r="B4" s="11">
        <v>16</v>
      </c>
      <c r="C4" s="12">
        <v>46028</v>
      </c>
      <c r="D4" s="11" t="s">
        <v>43</v>
      </c>
      <c r="E4" s="11" t="s">
        <v>12</v>
      </c>
      <c r="F4" s="11">
        <v>79</v>
      </c>
      <c r="G4" s="11">
        <v>71</v>
      </c>
      <c r="H4" s="11">
        <v>62</v>
      </c>
      <c r="I4" s="11">
        <v>12</v>
      </c>
      <c r="J4" s="11">
        <v>11</v>
      </c>
      <c r="K4" s="18">
        <v>4</v>
      </c>
      <c r="M4" s="10">
        <v>103.6</v>
      </c>
      <c r="N4" s="10">
        <v>97.3</v>
      </c>
      <c r="O4" s="10">
        <v>68.913325</v>
      </c>
      <c r="P4" s="10">
        <f>(C24*O4)/B28</f>
        <v>71.283968348596019</v>
      </c>
      <c r="Q4" s="10">
        <f>(((M4*B24)/B27)*P4)/100</f>
        <v>64.347878177916911</v>
      </c>
      <c r="R4" s="10">
        <f>(((A24*N4)/B27)*P4)/100</f>
        <v>74.989503546102128</v>
      </c>
      <c r="S4" s="10">
        <f>(Q4-R4)+2.5</f>
        <v>-8.1416253681852169</v>
      </c>
      <c r="T4" s="10">
        <f>G4-F4</f>
        <v>-8</v>
      </c>
      <c r="U4" s="10">
        <f>S4-1.036*B29</f>
        <v>-18.38905155639171</v>
      </c>
      <c r="V4" s="10">
        <f>S4+1.036*B29</f>
        <v>2.1058008200212761</v>
      </c>
    </row>
    <row r="5" spans="1:22" ht="14">
      <c r="A5" s="17">
        <v>17</v>
      </c>
      <c r="B5" s="11">
        <v>17</v>
      </c>
      <c r="C5" s="12">
        <v>46032</v>
      </c>
      <c r="D5" s="11" t="s">
        <v>43</v>
      </c>
      <c r="E5" s="11" t="s">
        <v>15</v>
      </c>
      <c r="F5" s="11">
        <v>113</v>
      </c>
      <c r="G5" s="11">
        <v>69</v>
      </c>
      <c r="H5" s="11">
        <v>69</v>
      </c>
      <c r="I5" s="11">
        <v>23</v>
      </c>
      <c r="J5" s="11">
        <v>11</v>
      </c>
      <c r="K5" s="18">
        <v>9</v>
      </c>
      <c r="M5" s="10">
        <v>116.5</v>
      </c>
      <c r="N5" s="10">
        <v>104.7</v>
      </c>
      <c r="O5" s="10">
        <v>71.247624999999999</v>
      </c>
      <c r="P5" s="10">
        <f>(C24*O5)/B28</f>
        <v>73.698569114356886</v>
      </c>
      <c r="Q5" s="10">
        <f>(((M5*B24)/B27)*P5)/100</f>
        <v>74.81136659360088</v>
      </c>
      <c r="R5" s="10">
        <f>(((A24*N5)/B27)*P5)/100</f>
        <v>83.426016521709883</v>
      </c>
      <c r="S5" s="10">
        <f>(Q5-R5)+2.6</f>
        <v>-6.0146499281090033</v>
      </c>
      <c r="T5" s="10">
        <f>G5-F5</f>
        <v>-44</v>
      </c>
      <c r="U5" s="10">
        <f>S5-1.036*B29</f>
        <v>-16.262076116315498</v>
      </c>
      <c r="V5" s="10">
        <f>S5+1.036*B29</f>
        <v>4.2327762600974896</v>
      </c>
    </row>
    <row r="6" spans="1:22" ht="16">
      <c r="A6" s="17">
        <v>18</v>
      </c>
      <c r="B6" s="11">
        <v>18</v>
      </c>
      <c r="C6" s="12">
        <v>46039</v>
      </c>
      <c r="D6" s="13"/>
      <c r="E6" s="11" t="s">
        <v>21</v>
      </c>
      <c r="F6" s="11">
        <v>74</v>
      </c>
      <c r="G6" s="11">
        <v>78</v>
      </c>
      <c r="H6" s="11">
        <v>62</v>
      </c>
      <c r="I6" s="11">
        <v>25</v>
      </c>
      <c r="J6" s="11">
        <v>7</v>
      </c>
      <c r="K6" s="18">
        <v>9</v>
      </c>
      <c r="M6" s="10">
        <v>109.3</v>
      </c>
      <c r="N6" s="10">
        <v>104.7</v>
      </c>
      <c r="O6" s="10">
        <v>72.415624999999991</v>
      </c>
      <c r="P6" s="10">
        <f>(C24*O6)/B28</f>
        <v>74.906748737545286</v>
      </c>
      <c r="Q6" s="10">
        <f>(((A24*N6)/B27)*P6)/100</f>
        <v>84.79366333516306</v>
      </c>
      <c r="R6" s="10">
        <f>(((M6*B24)/B27)*P6)/100</f>
        <v>71.338457735292081</v>
      </c>
      <c r="S6" s="10">
        <f>(Q6-R6)+3.8</f>
        <v>17.25520559987098</v>
      </c>
      <c r="T6" s="10">
        <f>F6-G6</f>
        <v>-4</v>
      </c>
      <c r="U6" s="10">
        <f>S6-1.036*B29</f>
        <v>7.0077794116644867</v>
      </c>
      <c r="V6" s="10">
        <f>S6+1.036*B29</f>
        <v>27.502631788077473</v>
      </c>
    </row>
    <row r="7" spans="1:22" ht="14">
      <c r="A7" s="17">
        <v>19</v>
      </c>
      <c r="B7" s="11">
        <v>19</v>
      </c>
      <c r="C7" s="12">
        <v>46042</v>
      </c>
      <c r="D7" s="11" t="s">
        <v>43</v>
      </c>
      <c r="E7" s="11" t="s">
        <v>19</v>
      </c>
      <c r="F7" s="11">
        <v>80</v>
      </c>
      <c r="G7" s="11">
        <v>76</v>
      </c>
      <c r="H7" s="11">
        <v>57</v>
      </c>
      <c r="I7" s="11">
        <v>25</v>
      </c>
      <c r="J7" s="11">
        <v>6</v>
      </c>
      <c r="K7" s="18">
        <v>5</v>
      </c>
      <c r="M7" s="27">
        <v>115.4</v>
      </c>
      <c r="N7" s="27">
        <v>91.8</v>
      </c>
      <c r="O7" s="27">
        <v>65.54495</v>
      </c>
      <c r="P7" s="10">
        <f>(C24*O7)/B28</f>
        <v>67.799720028170299</v>
      </c>
      <c r="Q7" s="10">
        <f>(((M7*B24)/B27)*P7)/100</f>
        <v>68.173613821002689</v>
      </c>
      <c r="R7" s="10">
        <f>(((A24*N7)/B27)*P7)/100</f>
        <v>67.292451656560573</v>
      </c>
      <c r="S7" s="10">
        <f>(Q7-R7)+4</f>
        <v>4.8811621644421166</v>
      </c>
      <c r="T7" s="10">
        <f>G7-F7</f>
        <v>-4</v>
      </c>
      <c r="U7" s="10">
        <f>S7-1.036*B29</f>
        <v>-5.3662640237643764</v>
      </c>
      <c r="V7" s="10">
        <f>S7+1.036*B29</f>
        <v>15.12858835264861</v>
      </c>
    </row>
    <row r="8" spans="1:22" ht="14">
      <c r="A8" s="17">
        <v>20</v>
      </c>
      <c r="B8" s="11">
        <v>20</v>
      </c>
      <c r="C8" s="12">
        <v>46046</v>
      </c>
      <c r="D8" s="11" t="s">
        <v>43</v>
      </c>
      <c r="E8" s="11" t="s">
        <v>48</v>
      </c>
      <c r="F8" s="11">
        <v>81</v>
      </c>
      <c r="G8" s="11">
        <v>72</v>
      </c>
      <c r="H8" s="11">
        <v>55</v>
      </c>
      <c r="I8" s="11">
        <v>27</v>
      </c>
      <c r="J8" s="11">
        <v>7</v>
      </c>
      <c r="K8" s="18">
        <v>8</v>
      </c>
      <c r="M8" s="27">
        <v>111.6</v>
      </c>
      <c r="N8" s="27">
        <v>107.1</v>
      </c>
      <c r="O8" s="27">
        <v>66.7727</v>
      </c>
      <c r="P8" s="10">
        <f>(C24*O8)/B28</f>
        <v>69.069705073007256</v>
      </c>
      <c r="Q8" s="10">
        <f>(((M8*B24)/B27)*P8)/100</f>
        <v>67.163667512287901</v>
      </c>
      <c r="R8" s="10">
        <f>(((A24*N8)/B27)*P8)/100</f>
        <v>79.978423985107824</v>
      </c>
      <c r="S8" s="10">
        <f>(Q8-R8)+2.7</f>
        <v>-10.114756472819924</v>
      </c>
      <c r="T8" s="10">
        <f>G8-F8</f>
        <v>-9</v>
      </c>
      <c r="U8" s="10">
        <f>S8-1.036*B29</f>
        <v>-20.362182661026416</v>
      </c>
      <c r="V8" s="10">
        <f>S8+1.036*B29</f>
        <v>0.13266971538656946</v>
      </c>
    </row>
    <row r="9" spans="1:22" ht="16">
      <c r="A9" s="17">
        <v>21</v>
      </c>
      <c r="B9" s="11">
        <v>21</v>
      </c>
      <c r="C9" s="12">
        <v>46049</v>
      </c>
      <c r="D9" s="13"/>
      <c r="E9" s="11" t="s">
        <v>4</v>
      </c>
      <c r="F9" s="11">
        <v>88</v>
      </c>
      <c r="G9" s="11">
        <v>68</v>
      </c>
      <c r="H9" s="11">
        <v>65</v>
      </c>
      <c r="I9" s="11">
        <v>18</v>
      </c>
      <c r="J9" s="11">
        <v>15</v>
      </c>
      <c r="K9" s="18">
        <v>11</v>
      </c>
      <c r="M9" s="27">
        <v>117.2</v>
      </c>
      <c r="N9" s="27">
        <v>104.5</v>
      </c>
      <c r="O9" s="27">
        <v>69.786749999999998</v>
      </c>
      <c r="P9" s="10">
        <f>(C24*O9)/B28</f>
        <v>72.187439485054355</v>
      </c>
      <c r="Q9" s="10">
        <f>(((A24*N9)/B27)*P9)/100</f>
        <v>81.559339011982743</v>
      </c>
      <c r="R9" s="10">
        <f>(((M9*B24)/B27)*P9)/100</f>
        <v>73.717713461288497</v>
      </c>
      <c r="S9" s="10">
        <f>(Q9-R9)+3.8</f>
        <v>11.641625550694247</v>
      </c>
      <c r="T9" s="10">
        <f>F9-G9</f>
        <v>20</v>
      </c>
      <c r="U9" s="10">
        <f>S9-1.036*B29</f>
        <v>1.394199362487754</v>
      </c>
      <c r="V9" s="10">
        <f>S9+1.036*B29</f>
        <v>21.88905173890074</v>
      </c>
    </row>
    <row r="10" spans="1:22" ht="14">
      <c r="A10" s="17">
        <v>22</v>
      </c>
      <c r="B10" s="11">
        <v>22</v>
      </c>
      <c r="C10" s="12">
        <v>46053</v>
      </c>
      <c r="D10" s="11" t="s">
        <v>43</v>
      </c>
      <c r="E10" s="11" t="s">
        <v>8</v>
      </c>
      <c r="F10" s="11">
        <v>96</v>
      </c>
      <c r="G10" s="11">
        <v>78</v>
      </c>
      <c r="H10" s="11">
        <v>61</v>
      </c>
      <c r="I10" s="11">
        <v>18</v>
      </c>
      <c r="J10" s="11">
        <v>6</v>
      </c>
      <c r="K10" s="18">
        <v>8</v>
      </c>
      <c r="M10" s="27">
        <v>114.7</v>
      </c>
      <c r="N10" s="27">
        <v>105.6</v>
      </c>
      <c r="O10" s="27">
        <v>70.806899999999999</v>
      </c>
      <c r="P10" s="10">
        <f>(C24*O10)/B28</f>
        <v>73.242683014673915</v>
      </c>
      <c r="Q10" s="10">
        <f>(((M10*B24)/B27)*P10)/100</f>
        <v>73.199863242306961</v>
      </c>
      <c r="R10" s="10">
        <f>(((A24*N10)/B27)*P10)/100</f>
        <v>83.622651231344165</v>
      </c>
      <c r="S10" s="10">
        <f>(Q10-R10)+2.3</f>
        <v>-8.122787989037203</v>
      </c>
      <c r="T10" s="10">
        <f>G10-F10</f>
        <v>-18</v>
      </c>
      <c r="U10" s="10">
        <f>S10-1.036*B29</f>
        <v>-18.370214177243696</v>
      </c>
      <c r="V10" s="10">
        <f>S10+1.036*B29</f>
        <v>2.12463819916929</v>
      </c>
    </row>
    <row r="11" spans="1:22" ht="14">
      <c r="A11" s="17">
        <v>23</v>
      </c>
      <c r="B11" s="11">
        <v>23</v>
      </c>
      <c r="C11" s="12">
        <v>46056</v>
      </c>
      <c r="D11" s="11" t="s">
        <v>43</v>
      </c>
      <c r="E11" s="11" t="s">
        <v>13</v>
      </c>
      <c r="F11" s="11">
        <v>84</v>
      </c>
      <c r="G11" s="11">
        <v>83</v>
      </c>
      <c r="H11" s="11">
        <v>61</v>
      </c>
      <c r="I11" s="11">
        <v>20</v>
      </c>
      <c r="J11" s="11">
        <v>6</v>
      </c>
      <c r="K11" s="18">
        <v>7</v>
      </c>
      <c r="M11" s="26">
        <v>125.9</v>
      </c>
      <c r="N11" s="26">
        <v>104.5</v>
      </c>
      <c r="O11" s="26">
        <v>70.171149999999997</v>
      </c>
      <c r="P11" s="10">
        <f>(C24*O11)/B28</f>
        <v>72.58506298432971</v>
      </c>
      <c r="Q11" s="10">
        <f>(((M11*B24)/B27)*P11)/100</f>
        <v>79.626127500817404</v>
      </c>
      <c r="R11" s="10">
        <f>(((A24*N11)/B27)*P11)/100</f>
        <v>82.008584891984398</v>
      </c>
      <c r="S11" s="10">
        <f>(Q11-R11)+3.3</f>
        <v>0.91754260883300542</v>
      </c>
      <c r="T11" s="25">
        <f>G11-F11</f>
        <v>-1</v>
      </c>
      <c r="U11" s="10">
        <f>S11-1.036*B29</f>
        <v>-9.3298835793734867</v>
      </c>
      <c r="V11" s="10">
        <f>S11+1.036*B29</f>
        <v>11.164968797039499</v>
      </c>
    </row>
    <row r="12" spans="1:22" ht="16">
      <c r="A12" s="17">
        <v>24</v>
      </c>
      <c r="B12" s="11">
        <v>24</v>
      </c>
      <c r="C12" s="12">
        <v>46060</v>
      </c>
      <c r="D12" s="13"/>
      <c r="E12" s="11" t="s">
        <v>9</v>
      </c>
      <c r="F12" s="11">
        <v>82</v>
      </c>
      <c r="G12" s="11">
        <v>73</v>
      </c>
      <c r="H12" s="11">
        <v>54</v>
      </c>
      <c r="I12" s="11">
        <v>24</v>
      </c>
      <c r="J12" s="11">
        <v>4</v>
      </c>
      <c r="K12" s="18">
        <v>10</v>
      </c>
      <c r="M12" s="26">
        <v>115.3</v>
      </c>
      <c r="N12" s="26">
        <v>100.9</v>
      </c>
      <c r="O12" s="26">
        <v>68.663174999999995</v>
      </c>
      <c r="P12" s="10">
        <f>(C24*O12)/B28</f>
        <v>71.025213097961952</v>
      </c>
      <c r="Q12" s="10">
        <f>(((A24*N12)/B27)*P12)/100</f>
        <v>77.481760707975994</v>
      </c>
      <c r="R12" s="10">
        <f>(((M12*B24)/B27)*P12)/100</f>
        <v>71.355008064134438</v>
      </c>
      <c r="S12" s="35">
        <f>(Q12-R12)+3.8</f>
        <v>9.9267526438415565</v>
      </c>
      <c r="T12" s="25" t="s">
        <v>81</v>
      </c>
      <c r="U12" s="35">
        <f>S12-1.036*B29</f>
        <v>-0.32067354436493645</v>
      </c>
      <c r="V12" s="35">
        <f>S12+1.036*B29</f>
        <v>20.17417883204805</v>
      </c>
    </row>
    <row r="13" spans="1:22" ht="14">
      <c r="A13" s="17">
        <v>25</v>
      </c>
      <c r="B13" s="11">
        <v>25</v>
      </c>
      <c r="C13" s="12">
        <v>46062</v>
      </c>
      <c r="D13" s="11" t="s">
        <v>43</v>
      </c>
      <c r="E13" s="11" t="s">
        <v>7</v>
      </c>
      <c r="F13" s="11">
        <v>77</v>
      </c>
      <c r="G13" s="11">
        <v>118</v>
      </c>
      <c r="H13" s="11">
        <v>68</v>
      </c>
      <c r="I13" s="11">
        <v>19</v>
      </c>
      <c r="J13" s="11">
        <v>6</v>
      </c>
      <c r="K13" s="18">
        <v>10</v>
      </c>
      <c r="M13" s="26">
        <v>122.3</v>
      </c>
      <c r="N13" s="26">
        <v>98.9</v>
      </c>
      <c r="O13" s="26">
        <v>71.274299999999997</v>
      </c>
      <c r="P13" s="10">
        <f>(C24*O13)/B28</f>
        <v>73.726161744021738</v>
      </c>
      <c r="Q13" s="10">
        <f>(((M13*B24)/B27)*P13)/100</f>
        <v>78.56528469365719</v>
      </c>
      <c r="R13" s="10">
        <f>(((A24*N13)/B27)*P13)/100</f>
        <v>78.83402228322673</v>
      </c>
      <c r="S13" s="35">
        <f>(Q13-R13)+3.5</f>
        <v>3.2312624104304604</v>
      </c>
      <c r="T13" s="25" t="s">
        <v>81</v>
      </c>
      <c r="U13" s="35">
        <f>S13-1.036*B29</f>
        <v>-7.0161637777760326</v>
      </c>
      <c r="V13" s="35">
        <f>S13+1.036*B29</f>
        <v>13.478688598636953</v>
      </c>
    </row>
    <row r="14" spans="1:22" ht="16">
      <c r="A14" s="17">
        <v>26</v>
      </c>
      <c r="B14" s="11">
        <v>26</v>
      </c>
      <c r="C14" s="12">
        <v>46067</v>
      </c>
      <c r="D14" s="13"/>
      <c r="E14" s="11" t="s">
        <v>46</v>
      </c>
      <c r="F14" s="11">
        <v>76</v>
      </c>
      <c r="G14" s="11">
        <v>77</v>
      </c>
      <c r="H14" s="11">
        <v>55</v>
      </c>
      <c r="I14" s="11">
        <v>15</v>
      </c>
      <c r="J14" s="11">
        <v>7</v>
      </c>
      <c r="K14" s="18">
        <v>10</v>
      </c>
      <c r="M14" s="26">
        <v>119.4</v>
      </c>
      <c r="N14" s="26">
        <v>104.2</v>
      </c>
      <c r="O14" s="26">
        <v>68.519300000000001</v>
      </c>
      <c r="P14" s="10">
        <f>(C24*O14)/B28</f>
        <v>70.876388745833339</v>
      </c>
      <c r="Q14" s="10">
        <f>(((A24*N14)/B27)*P14)/100</f>
        <v>79.848188890841314</v>
      </c>
      <c r="R14" s="10">
        <f>(((M14*B24)/B27)*P14)/100</f>
        <v>73.737517993080957</v>
      </c>
      <c r="S14" s="35">
        <f>(Q14-R14)+3.8</f>
        <v>9.9106708977603581</v>
      </c>
      <c r="T14" s="25" t="s">
        <v>81</v>
      </c>
      <c r="U14" s="35">
        <f>S14-1.036*B29</f>
        <v>-0.33675529044613484</v>
      </c>
      <c r="V14" s="35">
        <f>S14+1.036*B29</f>
        <v>20.158097085966851</v>
      </c>
    </row>
    <row r="15" spans="1:22" ht="16">
      <c r="A15" s="17">
        <v>27</v>
      </c>
      <c r="B15" s="11">
        <v>27</v>
      </c>
      <c r="C15" s="12">
        <v>46070</v>
      </c>
      <c r="D15" s="13"/>
      <c r="E15" s="11" t="s">
        <v>18</v>
      </c>
      <c r="F15" s="11">
        <v>82</v>
      </c>
      <c r="G15" s="11">
        <v>58</v>
      </c>
      <c r="H15" s="11">
        <v>64</v>
      </c>
      <c r="I15" s="11">
        <v>16</v>
      </c>
      <c r="J15" s="11">
        <v>12</v>
      </c>
      <c r="K15" s="18">
        <v>4</v>
      </c>
      <c r="M15" s="26">
        <v>128.80000000000001</v>
      </c>
      <c r="N15" s="26">
        <v>107</v>
      </c>
      <c r="O15" s="26">
        <v>71.825850000000003</v>
      </c>
      <c r="P15" s="10">
        <f>(C24*O15)/B28</f>
        <v>74.296685263858706</v>
      </c>
      <c r="Q15" s="10">
        <f>(((A24*N15)/B27)*P15)/100</f>
        <v>85.950614375540297</v>
      </c>
      <c r="R15" s="10">
        <f>(((M15*B24)/B27)*P15)/100</f>
        <v>83.381155263755332</v>
      </c>
      <c r="S15" s="35">
        <f>(Q15-R15)+3.8</f>
        <v>6.3694591117849653</v>
      </c>
      <c r="T15" s="25" t="s">
        <v>81</v>
      </c>
      <c r="U15" s="35">
        <f>S15-1.036*B29</f>
        <v>-3.8779670764215277</v>
      </c>
      <c r="V15" s="35">
        <f>S15+1.036*B29</f>
        <v>16.616885299991459</v>
      </c>
    </row>
    <row r="16" spans="1:22" ht="16">
      <c r="A16" s="17">
        <v>28</v>
      </c>
      <c r="B16" s="13"/>
      <c r="C16" s="12">
        <v>46077</v>
      </c>
      <c r="D16" s="11" t="s">
        <v>43</v>
      </c>
      <c r="E16" s="11" t="s">
        <v>5</v>
      </c>
      <c r="F16" s="13"/>
      <c r="G16" s="13"/>
      <c r="H16" s="13"/>
      <c r="I16" s="13"/>
      <c r="J16" s="13"/>
      <c r="K16" s="19"/>
      <c r="M16" s="26">
        <v>119.6</v>
      </c>
      <c r="N16" s="26">
        <v>97.6</v>
      </c>
      <c r="O16" s="26">
        <v>66.888849999999991</v>
      </c>
      <c r="P16" s="10">
        <f>(C25*O16)/B28</f>
        <v>69.314782567028971</v>
      </c>
      <c r="Q16" s="10">
        <f>(((M16*B25)/B27)*P16)/100</f>
        <v>73.30750558633045</v>
      </c>
      <c r="R16" s="10">
        <f>(((A25*N16)/B27)*P16)/100</f>
        <v>72.383308485436714</v>
      </c>
      <c r="S16" s="41">
        <f>(Q16-R16)+3.8</f>
        <v>4.7241971008937353</v>
      </c>
      <c r="T16" s="25" t="s">
        <v>81</v>
      </c>
      <c r="U16" s="41">
        <f>S16-1.036*B29</f>
        <v>-5.5232290873127576</v>
      </c>
      <c r="V16" s="41">
        <f>S16+1.036*B29</f>
        <v>14.971623289100229</v>
      </c>
    </row>
    <row r="17" spans="1:22" ht="16">
      <c r="A17" s="17">
        <v>29</v>
      </c>
      <c r="B17" s="13"/>
      <c r="C17" s="12">
        <v>46081</v>
      </c>
      <c r="D17" s="11" t="s">
        <v>43</v>
      </c>
      <c r="E17" s="11" t="s">
        <v>16</v>
      </c>
      <c r="F17" s="13"/>
      <c r="G17" s="13"/>
      <c r="H17" s="13"/>
      <c r="I17" s="13"/>
      <c r="J17" s="13"/>
      <c r="K17" s="19"/>
      <c r="M17" s="26">
        <v>117.4</v>
      </c>
      <c r="N17" s="26">
        <v>111</v>
      </c>
      <c r="O17" s="26">
        <v>71.822000000000003</v>
      </c>
      <c r="P17" s="10">
        <f>(C25*O17)/B28</f>
        <v>74.426848623188405</v>
      </c>
      <c r="Q17" s="10">
        <f>(((M17*B25)/B27)*P17)/100</f>
        <v>77.266123635950052</v>
      </c>
      <c r="R17" s="10">
        <f>(((A25*N17)/B27)*P17)/100</f>
        <v>88.3924876018867</v>
      </c>
      <c r="S17" s="41">
        <f>(Q17-R17)+2.4</f>
        <v>-8.7263639659366472</v>
      </c>
      <c r="T17" s="25" t="s">
        <v>81</v>
      </c>
      <c r="U17" s="41">
        <f>S17-1.036*B29</f>
        <v>-18.973790154143138</v>
      </c>
      <c r="V17" s="41">
        <f>S17+1.036*B29</f>
        <v>1.5210622222698458</v>
      </c>
    </row>
    <row r="18" spans="1:22" ht="16">
      <c r="A18" s="17">
        <v>30</v>
      </c>
      <c r="B18" s="13"/>
      <c r="C18" s="12">
        <v>46083</v>
      </c>
      <c r="D18" s="13"/>
      <c r="E18" s="11" t="s">
        <v>17</v>
      </c>
      <c r="F18" s="13"/>
      <c r="G18" s="13"/>
      <c r="H18" s="13"/>
      <c r="I18" s="13"/>
      <c r="J18" s="13"/>
      <c r="K18" s="19"/>
      <c r="M18" s="26">
        <v>129.6</v>
      </c>
      <c r="N18" s="26">
        <v>89.5</v>
      </c>
      <c r="O18" s="26">
        <v>64.04657499999999</v>
      </c>
      <c r="P18" s="10">
        <f>(C25*O18)/B28</f>
        <v>66.369423607789855</v>
      </c>
      <c r="Q18" s="10">
        <f>(((A25*N18)/B27)*P18)/100</f>
        <v>63.55560076493628</v>
      </c>
      <c r="R18" s="10">
        <f>(((M18*B25)/B27)*P18)/100</f>
        <v>76.061422752670424</v>
      </c>
      <c r="S18" s="41">
        <f>(Q18-R18)+3.8</f>
        <v>-8.7058219877341436</v>
      </c>
      <c r="T18" s="25" t="s">
        <v>81</v>
      </c>
      <c r="U18" s="41">
        <f>S18-1.036*B29</f>
        <v>-18.953248175940637</v>
      </c>
      <c r="V18" s="41">
        <f>S18+1.036*B29</f>
        <v>1.5416042004723494</v>
      </c>
    </row>
    <row r="19" spans="1:22" ht="16">
      <c r="A19" s="20">
        <v>31</v>
      </c>
      <c r="B19" s="21"/>
      <c r="C19" s="22">
        <v>46088</v>
      </c>
      <c r="D19" s="21"/>
      <c r="E19" s="23" t="s">
        <v>22</v>
      </c>
      <c r="F19" s="21"/>
      <c r="G19" s="21"/>
      <c r="H19" s="21"/>
      <c r="I19" s="21"/>
      <c r="J19" s="21"/>
      <c r="K19" s="24"/>
      <c r="M19" s="26">
        <v>113.4</v>
      </c>
      <c r="N19" s="26">
        <v>104.9</v>
      </c>
      <c r="O19" s="26">
        <v>71.179200000000009</v>
      </c>
      <c r="P19" s="10">
        <f>(C25*O19)/B28</f>
        <v>73.76073547826087</v>
      </c>
      <c r="Q19" s="10">
        <f>(((A25*N19)/B27)*P19)/100</f>
        <v>82.787253254910127</v>
      </c>
      <c r="R19" s="10">
        <f>(((M19*B25)/B27)*P19)/100</f>
        <v>73.965583945703102</v>
      </c>
      <c r="S19" s="41">
        <f>(Q19-R19)+3.8</f>
        <v>12.621669309207025</v>
      </c>
      <c r="T19" s="25" t="s">
        <v>81</v>
      </c>
      <c r="U19" s="41">
        <f>S19-1.036*B29</f>
        <v>2.3742431210005321</v>
      </c>
      <c r="V19" s="41">
        <f>S19+1.036*B29</f>
        <v>22.869095497413518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59.118000000000002</v>
      </c>
      <c r="I21" s="34">
        <v>19.315000000000001</v>
      </c>
      <c r="J21" s="34">
        <v>8.14</v>
      </c>
      <c r="K21" s="34">
        <v>11.221</v>
      </c>
      <c r="M21" s="32" t="s">
        <v>82</v>
      </c>
    </row>
    <row r="22" spans="1:22">
      <c r="F22" s="26"/>
      <c r="G22" s="26"/>
      <c r="H22" s="34">
        <v>57.904000000000003</v>
      </c>
      <c r="I22" s="34">
        <v>20.78</v>
      </c>
      <c r="J22" s="34">
        <v>5.6719999999999997</v>
      </c>
      <c r="K22" s="34">
        <v>9.4</v>
      </c>
      <c r="M22" s="30">
        <f>(T2-S2)^2</f>
        <v>1.4952104661336503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1" si="0">(T3-S3)^2</f>
        <v>263.33016075598721</v>
      </c>
    </row>
    <row r="24" spans="1:22">
      <c r="A24" s="7">
        <v>125.2</v>
      </c>
      <c r="B24">
        <v>100.9</v>
      </c>
      <c r="C24">
        <f>H21-J21+K21+(0.475*I21)</f>
        <v>71.373625000000004</v>
      </c>
      <c r="F24" s="26"/>
      <c r="G24" s="26"/>
      <c r="H24" s="26"/>
      <c r="I24" s="26"/>
      <c r="J24" s="26"/>
      <c r="K24" s="26"/>
      <c r="M24" s="30">
        <f t="shared" si="0"/>
        <v>2.0057744913598238E-2</v>
      </c>
    </row>
    <row r="25" spans="1:22">
      <c r="A25" s="7">
        <v>123.9</v>
      </c>
      <c r="B25">
        <v>102.4</v>
      </c>
      <c r="C25">
        <f>H22-J22+K22+(0.475*I22)</f>
        <v>71.502499999999998</v>
      </c>
      <c r="F25" s="26"/>
      <c r="G25" s="26"/>
      <c r="H25" s="26"/>
      <c r="I25" s="26"/>
      <c r="J25" s="26"/>
      <c r="K25" s="26"/>
      <c r="M25" s="30">
        <f t="shared" si="0"/>
        <v>1442.8868200841096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451.78376509278667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78.875041391118188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1.2426819936939169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69.862423434807255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97.559317109507745</v>
      </c>
    </row>
    <row r="31" spans="1:22">
      <c r="F31" s="26"/>
      <c r="G31" s="26"/>
      <c r="H31" s="26"/>
      <c r="I31" s="26"/>
      <c r="J31" s="26"/>
      <c r="K31" s="26"/>
      <c r="M31" s="31">
        <f t="shared" si="0"/>
        <v>3.6769696566900882</v>
      </c>
    </row>
    <row r="32" spans="1:22">
      <c r="L32" s="33" t="s">
        <v>83</v>
      </c>
      <c r="M32" s="29">
        <f>SUM(M22:M31)</f>
        <v>2410.7324477297479</v>
      </c>
    </row>
  </sheetData>
  <mergeCells count="1">
    <mergeCell ref="A21:B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FCA-1EE7-364F-8558-074204BCEF03}">
  <dimension ref="A1:V32"/>
  <sheetViews>
    <sheetView zoomScale="119" workbookViewId="0">
      <pane xSplit="5" topLeftCell="R1" activePane="topRight" state="frozen"/>
      <selection pane="topRight" activeCell="O26" sqref="O26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14</v>
      </c>
      <c r="B2" s="11">
        <v>14</v>
      </c>
      <c r="C2" s="12">
        <v>46021</v>
      </c>
      <c r="D2" s="11" t="s">
        <v>43</v>
      </c>
      <c r="E2" s="11" t="s">
        <v>22</v>
      </c>
      <c r="F2" s="11">
        <v>47</v>
      </c>
      <c r="G2" s="11">
        <v>40</v>
      </c>
      <c r="H2" s="11">
        <v>56</v>
      </c>
      <c r="I2" s="11">
        <v>14</v>
      </c>
      <c r="J2" s="11">
        <v>13</v>
      </c>
      <c r="K2" s="18">
        <v>12</v>
      </c>
      <c r="M2" s="10">
        <v>111.6</v>
      </c>
      <c r="N2" s="26">
        <v>103.8</v>
      </c>
      <c r="O2" s="10">
        <v>62.672174999999996</v>
      </c>
      <c r="P2" s="10">
        <f>(C24*O2)/B28</f>
        <v>58.556520516521736</v>
      </c>
      <c r="Q2" s="10">
        <f>(((M2*B24)/B27)*P2)/100</f>
        <v>59.592940589498106</v>
      </c>
      <c r="R2" s="10">
        <f>(((A24*N2)/B27)*P2)/100</f>
        <v>59.364479138985445</v>
      </c>
      <c r="S2" s="10">
        <f>(Q2-R2)+2.3</f>
        <v>2.528461450512661</v>
      </c>
      <c r="T2" s="10">
        <f>G2-F2</f>
        <v>-7</v>
      </c>
      <c r="U2" s="10">
        <f>S2-1.036*B29</f>
        <v>-7.718964737693832</v>
      </c>
      <c r="V2" s="10">
        <f>S2+1.036*B29</f>
        <v>12.775887638719155</v>
      </c>
    </row>
    <row r="3" spans="1:22" ht="14">
      <c r="A3" s="17">
        <v>15</v>
      </c>
      <c r="B3" s="11">
        <v>15</v>
      </c>
      <c r="C3" s="12">
        <v>46024</v>
      </c>
      <c r="D3" s="11" t="s">
        <v>43</v>
      </c>
      <c r="E3" s="11" t="s">
        <v>20</v>
      </c>
      <c r="F3" s="11">
        <v>71</v>
      </c>
      <c r="G3" s="11">
        <v>72</v>
      </c>
      <c r="H3" s="11">
        <v>55</v>
      </c>
      <c r="I3" s="11">
        <v>26</v>
      </c>
      <c r="J3" s="11">
        <v>10</v>
      </c>
      <c r="K3" s="18">
        <v>7</v>
      </c>
      <c r="M3" s="10">
        <v>114.8</v>
      </c>
      <c r="N3" s="10">
        <v>103</v>
      </c>
      <c r="O3" s="10">
        <v>70.069299999999998</v>
      </c>
      <c r="P3" s="10">
        <f>(C24*O3)/B28</f>
        <v>65.467879533913049</v>
      </c>
      <c r="Q3" s="10">
        <f>(((M3*B24)/B27)*P3)/100</f>
        <v>68.537068000352662</v>
      </c>
      <c r="R3" s="10">
        <f>(((A24*N3)/B27)*P3)/100</f>
        <v>65.859669175683351</v>
      </c>
      <c r="S3" s="10">
        <f>(Q3-R3)+2.8</f>
        <v>5.4773988246693106</v>
      </c>
      <c r="T3" s="10">
        <f>G3-F3</f>
        <v>1</v>
      </c>
      <c r="U3" s="10">
        <f>S3-1.036*B29</f>
        <v>-4.7700273635371824</v>
      </c>
      <c r="V3" s="10">
        <f>S3+1.036*B29</f>
        <v>15.724825012875804</v>
      </c>
    </row>
    <row r="4" spans="1:22" ht="16">
      <c r="A4" s="17">
        <v>16</v>
      </c>
      <c r="B4" s="11">
        <v>16</v>
      </c>
      <c r="C4" s="12">
        <v>46032</v>
      </c>
      <c r="D4" s="13"/>
      <c r="E4" s="11" t="s">
        <v>19</v>
      </c>
      <c r="F4" s="11">
        <v>61</v>
      </c>
      <c r="G4" s="11">
        <v>76</v>
      </c>
      <c r="H4" s="11">
        <v>47</v>
      </c>
      <c r="I4" s="11">
        <v>18</v>
      </c>
      <c r="J4" s="11">
        <v>6</v>
      </c>
      <c r="K4" s="18">
        <v>14</v>
      </c>
      <c r="M4" s="10">
        <v>115.4</v>
      </c>
      <c r="N4" s="10">
        <v>91.8</v>
      </c>
      <c r="O4" s="10">
        <v>65.54495</v>
      </c>
      <c r="P4" s="10">
        <f>(C24*O4)/B28</f>
        <v>61.240641631304349</v>
      </c>
      <c r="Q4" s="10">
        <f>(((A24*N4)/B27)*P4)/100</f>
        <v>54.908105439408281</v>
      </c>
      <c r="R4" s="10">
        <f>(((M4*B24)/B27)*P4)/100</f>
        <v>64.446732009763934</v>
      </c>
      <c r="S4" s="10">
        <f>(Q4-R4)+2.4</f>
        <v>-7.1386265703556528</v>
      </c>
      <c r="T4" s="10">
        <f>F4-G4</f>
        <v>-15</v>
      </c>
      <c r="U4" s="10">
        <f>S4-1.036*B29</f>
        <v>-17.386052758562144</v>
      </c>
      <c r="V4" s="10">
        <f>S4+1.036*B29</f>
        <v>3.1087996178508401</v>
      </c>
    </row>
    <row r="5" spans="1:22" ht="16">
      <c r="A5" s="17">
        <v>17</v>
      </c>
      <c r="B5" s="11">
        <v>17</v>
      </c>
      <c r="C5" s="12">
        <v>46035</v>
      </c>
      <c r="D5" s="13"/>
      <c r="E5" s="11" t="s">
        <v>46</v>
      </c>
      <c r="F5" s="11">
        <v>69</v>
      </c>
      <c r="G5" s="11">
        <v>81</v>
      </c>
      <c r="H5" s="11">
        <v>53</v>
      </c>
      <c r="I5" s="11">
        <v>18</v>
      </c>
      <c r="J5" s="11">
        <v>12</v>
      </c>
      <c r="K5" s="18">
        <v>18</v>
      </c>
      <c r="M5" s="10">
        <v>119.4</v>
      </c>
      <c r="N5" s="10">
        <v>104.2</v>
      </c>
      <c r="O5" s="10">
        <v>68.519300000000001</v>
      </c>
      <c r="P5" s="10">
        <f>(C24*O5)/B28</f>
        <v>64.019667360000014</v>
      </c>
      <c r="Q5" s="10">
        <f>(((A24*N5)/B27)*P5)/100</f>
        <v>65.153114009580946</v>
      </c>
      <c r="R5" s="10">
        <f>(((M5*B24)/B27)*P5)/100</f>
        <v>69.706471387045809</v>
      </c>
      <c r="S5" s="10">
        <f>(Q5-R5)+2.4</f>
        <v>-2.1533573774648631</v>
      </c>
      <c r="T5" s="10">
        <f>F5-G5</f>
        <v>-12</v>
      </c>
      <c r="U5" s="10">
        <f>S5-1.036*B29</f>
        <v>-12.400783565671356</v>
      </c>
      <c r="V5" s="10">
        <f>S5+1.036*B29</f>
        <v>8.0940688107416303</v>
      </c>
    </row>
    <row r="6" spans="1:22" ht="14">
      <c r="A6" s="17">
        <v>18</v>
      </c>
      <c r="B6" s="11">
        <v>18</v>
      </c>
      <c r="C6" s="12">
        <v>46039</v>
      </c>
      <c r="D6" s="11" t="s">
        <v>43</v>
      </c>
      <c r="E6" s="11" t="s">
        <v>9</v>
      </c>
      <c r="F6" s="11">
        <v>76</v>
      </c>
      <c r="G6" s="11">
        <v>89</v>
      </c>
      <c r="H6" s="11">
        <v>61</v>
      </c>
      <c r="I6" s="11">
        <v>21</v>
      </c>
      <c r="J6" s="11">
        <v>10</v>
      </c>
      <c r="K6" s="18">
        <v>12</v>
      </c>
      <c r="M6" s="10">
        <v>115.3</v>
      </c>
      <c r="N6" s="10">
        <v>100.9</v>
      </c>
      <c r="O6" s="10">
        <v>68.663174999999995</v>
      </c>
      <c r="P6" s="10">
        <f>(C24*O6)/B28</f>
        <v>64.154094151304349</v>
      </c>
      <c r="Q6" s="10">
        <f>(((M6*B24)/B27)*P6)/100</f>
        <v>67.45420734681808</v>
      </c>
      <c r="R6" s="10">
        <f>(((A24*N6)/B27)*P6)/100</f>
        <v>63.22219776294591</v>
      </c>
      <c r="S6" s="10">
        <f>(Q6-R6)+3.2</f>
        <v>7.43200958387217</v>
      </c>
      <c r="T6" s="10">
        <f>G6-F6</f>
        <v>13</v>
      </c>
      <c r="U6" s="10">
        <f>S6-1.036*B29</f>
        <v>-2.8154166043343229</v>
      </c>
      <c r="V6" s="10">
        <f>S6+1.036*B29</f>
        <v>17.679435772078662</v>
      </c>
    </row>
    <row r="7" spans="1:22" ht="14">
      <c r="A7" s="17">
        <v>19</v>
      </c>
      <c r="B7" s="11">
        <v>19</v>
      </c>
      <c r="C7" s="12">
        <v>46043</v>
      </c>
      <c r="D7" s="11" t="s">
        <v>43</v>
      </c>
      <c r="E7" s="11" t="s">
        <v>18</v>
      </c>
      <c r="F7" s="11">
        <v>69</v>
      </c>
      <c r="G7" s="11">
        <v>91</v>
      </c>
      <c r="H7" s="11">
        <v>75</v>
      </c>
      <c r="I7" s="11">
        <v>13</v>
      </c>
      <c r="J7" s="11">
        <v>17</v>
      </c>
      <c r="K7" s="18">
        <v>5</v>
      </c>
      <c r="M7" s="27">
        <v>128.80000000000001</v>
      </c>
      <c r="N7" s="27">
        <v>107</v>
      </c>
      <c r="O7" s="27">
        <v>71.825850000000003</v>
      </c>
      <c r="P7" s="10">
        <f>(C24*O7)/B28</f>
        <v>67.109077659130435</v>
      </c>
      <c r="Q7" s="10">
        <f>(((M7*B24)/B27)*P7)/100</f>
        <v>78.822915007217418</v>
      </c>
      <c r="R7" s="10">
        <f>(((A24*N7)/B27)*P7)/100</f>
        <v>70.132463308074151</v>
      </c>
      <c r="S7" s="10">
        <f>(Q7-R7)+3.7</f>
        <v>12.390451699143266</v>
      </c>
      <c r="T7" s="10">
        <f>G7-F7</f>
        <v>22</v>
      </c>
      <c r="U7" s="10">
        <f>S7-1.036*B29</f>
        <v>2.1430255109367735</v>
      </c>
      <c r="V7" s="10">
        <f>S7+1.036*B29</f>
        <v>22.637877887349759</v>
      </c>
    </row>
    <row r="8" spans="1:22" ht="16">
      <c r="A8" s="17">
        <v>20</v>
      </c>
      <c r="B8" s="11">
        <v>20</v>
      </c>
      <c r="C8" s="12">
        <v>46046</v>
      </c>
      <c r="D8" s="13"/>
      <c r="E8" s="11" t="s">
        <v>12</v>
      </c>
      <c r="F8" s="11">
        <v>68</v>
      </c>
      <c r="G8" s="11">
        <v>64</v>
      </c>
      <c r="H8" s="11">
        <v>59</v>
      </c>
      <c r="I8" s="11">
        <v>22</v>
      </c>
      <c r="J8" s="11">
        <v>12</v>
      </c>
      <c r="K8" s="18">
        <v>8</v>
      </c>
      <c r="M8" s="27">
        <v>103.6</v>
      </c>
      <c r="N8" s="27">
        <v>97.3</v>
      </c>
      <c r="O8" s="27">
        <v>68.913325</v>
      </c>
      <c r="P8" s="10">
        <f>(C24*O8)/B28</f>
        <v>64.387816909565217</v>
      </c>
      <c r="Q8" s="10">
        <f>(((A24*N8)/B27)*P8)/100</f>
        <v>61.188609809802131</v>
      </c>
      <c r="R8" s="10">
        <f>(((M8*B24)/B27)*P8)/100</f>
        <v>60.830139813587984</v>
      </c>
      <c r="S8" s="10">
        <f>(Q8-R8)+2.5</f>
        <v>2.8584699962141471</v>
      </c>
      <c r="T8" s="10">
        <f>F8-G8</f>
        <v>4</v>
      </c>
      <c r="U8" s="10">
        <f>S8-1.036*B29</f>
        <v>-7.3889561919923459</v>
      </c>
      <c r="V8" s="10">
        <f>S8+1.036*B29</f>
        <v>13.10589618442064</v>
      </c>
    </row>
    <row r="9" spans="1:22" ht="16">
      <c r="A9" s="17">
        <v>21</v>
      </c>
      <c r="B9" s="11">
        <v>21</v>
      </c>
      <c r="C9" s="12">
        <v>46049</v>
      </c>
      <c r="D9" s="13"/>
      <c r="E9" s="11" t="s">
        <v>5</v>
      </c>
      <c r="F9" s="11">
        <v>97</v>
      </c>
      <c r="G9" s="11">
        <v>100</v>
      </c>
      <c r="H9" s="11">
        <v>61</v>
      </c>
      <c r="I9" s="11">
        <v>34</v>
      </c>
      <c r="J9" s="11">
        <v>6</v>
      </c>
      <c r="K9" s="18">
        <v>9</v>
      </c>
      <c r="M9" s="27">
        <v>121.8</v>
      </c>
      <c r="N9" s="27">
        <v>94.7</v>
      </c>
      <c r="O9" s="27">
        <v>66.483699999999999</v>
      </c>
      <c r="P9" s="10">
        <f>(C24*O9)/B28</f>
        <v>62.117744326956526</v>
      </c>
      <c r="Q9" s="10">
        <f>(((A24*N9)/B27)*P9)/100</f>
        <v>57.453924771672774</v>
      </c>
      <c r="R9" s="10">
        <f>(((M9*B24)/B27)*P9)/100</f>
        <v>68.995111999383496</v>
      </c>
      <c r="S9" s="10">
        <f>(Q9-R9)+3.8</f>
        <v>-7.7411872277107223</v>
      </c>
      <c r="T9" s="10">
        <f>F9-G9</f>
        <v>-3</v>
      </c>
      <c r="U9" s="10">
        <f>S9-1.036*B29</f>
        <v>-17.988613415917214</v>
      </c>
      <c r="V9" s="10">
        <f>S9+1.036*B29</f>
        <v>2.5062389604957707</v>
      </c>
    </row>
    <row r="10" spans="1:22" ht="14">
      <c r="A10" s="17">
        <v>22</v>
      </c>
      <c r="B10" s="11">
        <v>22</v>
      </c>
      <c r="C10" s="12">
        <v>46053</v>
      </c>
      <c r="D10" s="11" t="s">
        <v>43</v>
      </c>
      <c r="E10" s="11" t="s">
        <v>4</v>
      </c>
      <c r="F10" s="11">
        <v>72</v>
      </c>
      <c r="G10" s="11">
        <v>86</v>
      </c>
      <c r="H10" s="11">
        <v>53</v>
      </c>
      <c r="I10" s="11">
        <v>20</v>
      </c>
      <c r="J10" s="11">
        <v>2</v>
      </c>
      <c r="K10" s="18">
        <v>9</v>
      </c>
      <c r="M10" s="27">
        <v>117.2</v>
      </c>
      <c r="N10" s="27">
        <v>104.5</v>
      </c>
      <c r="O10" s="27">
        <v>69.786749999999998</v>
      </c>
      <c r="P10" s="10">
        <f>(C24*O10)/B28</f>
        <v>65.203884469565224</v>
      </c>
      <c r="Q10" s="10">
        <f>(((M10*B24)/B27)*P10)/100</f>
        <v>69.687749519721024</v>
      </c>
      <c r="R10" s="10">
        <f>(((A24*N10)/B27)*P10)/100</f>
        <v>66.549348044176853</v>
      </c>
      <c r="S10" s="10">
        <f>(Q10-R10)+3.1</f>
        <v>6.2384014755441708</v>
      </c>
      <c r="T10" s="10">
        <f>G10-F10</f>
        <v>14</v>
      </c>
      <c r="U10" s="10">
        <f>S10-1.036*B29</f>
        <v>-4.0090247126623222</v>
      </c>
      <c r="V10" s="10">
        <f>S10+1.036*B29</f>
        <v>16.485827663750662</v>
      </c>
    </row>
    <row r="11" spans="1:22" ht="14">
      <c r="A11" s="17">
        <v>23</v>
      </c>
      <c r="B11" s="11">
        <v>23</v>
      </c>
      <c r="C11" s="12">
        <v>46057</v>
      </c>
      <c r="D11" s="11" t="s">
        <v>43</v>
      </c>
      <c r="E11" s="11" t="s">
        <v>7</v>
      </c>
      <c r="F11" s="11">
        <v>65</v>
      </c>
      <c r="G11" s="11">
        <v>76</v>
      </c>
      <c r="H11" s="11">
        <v>62</v>
      </c>
      <c r="I11" s="11">
        <v>14</v>
      </c>
      <c r="J11" s="11">
        <v>10</v>
      </c>
      <c r="K11" s="18">
        <v>11</v>
      </c>
      <c r="M11" s="26">
        <v>122.3</v>
      </c>
      <c r="N11" s="26">
        <v>98.9</v>
      </c>
      <c r="O11" s="26">
        <v>71.274299999999997</v>
      </c>
      <c r="P11" s="10">
        <f>(C24*O11)/B28</f>
        <v>66.593747707826083</v>
      </c>
      <c r="Q11" s="10">
        <f>(((M11*B24)/B27)*P11)/100</f>
        <v>74.270316096446365</v>
      </c>
      <c r="R11" s="10">
        <f>(((A24*N11)/B27)*P11)/100</f>
        <v>64.325592264523536</v>
      </c>
      <c r="S11" s="10">
        <f>(Q11-R11)+3.5</f>
        <v>13.444723831922829</v>
      </c>
      <c r="T11" s="25">
        <f>G11-F11</f>
        <v>11</v>
      </c>
      <c r="U11" s="10">
        <f>S11-1.036*B29</f>
        <v>3.1972976437163361</v>
      </c>
      <c r="V11" s="10">
        <f>S11+1.036*B29</f>
        <v>23.692150020129322</v>
      </c>
    </row>
    <row r="12" spans="1:22" ht="16">
      <c r="A12" s="17">
        <v>24</v>
      </c>
      <c r="B12" s="11">
        <v>24</v>
      </c>
      <c r="C12" s="12">
        <v>46060</v>
      </c>
      <c r="D12" s="13"/>
      <c r="E12" s="11" t="s">
        <v>15</v>
      </c>
      <c r="F12" s="11">
        <v>79</v>
      </c>
      <c r="G12" s="11">
        <v>82</v>
      </c>
      <c r="H12" s="11">
        <v>64</v>
      </c>
      <c r="I12" s="11">
        <v>24</v>
      </c>
      <c r="J12" s="11">
        <v>11</v>
      </c>
      <c r="K12" s="18">
        <v>11</v>
      </c>
      <c r="M12" s="26">
        <v>116.5</v>
      </c>
      <c r="N12" s="26">
        <v>104.7</v>
      </c>
      <c r="O12" s="26">
        <v>71.247624999999999</v>
      </c>
      <c r="P12" s="10">
        <f>(C24*O12)/B28</f>
        <v>66.568824443478263</v>
      </c>
      <c r="Q12" s="10">
        <f>(((A24*N12)/B27)*P12)/100</f>
        <v>68.072486568666577</v>
      </c>
      <c r="R12" s="10">
        <f>(((M12*B24)/B27)*P12)/100</f>
        <v>70.721615356947055</v>
      </c>
      <c r="S12" s="35">
        <f>(Q12-R12)+2.4</f>
        <v>-0.24912878828047846</v>
      </c>
      <c r="T12" s="25" t="s">
        <v>81</v>
      </c>
      <c r="U12" s="35">
        <f>S12-1.036*B29</f>
        <v>-10.496554976486971</v>
      </c>
      <c r="V12" s="35">
        <f>S12+1.036*B29</f>
        <v>9.998297399926015</v>
      </c>
    </row>
    <row r="13" spans="1:22" ht="14">
      <c r="A13" s="17">
        <v>25</v>
      </c>
      <c r="B13" s="11">
        <v>25</v>
      </c>
      <c r="C13" s="12">
        <v>46063</v>
      </c>
      <c r="D13" s="11" t="s">
        <v>43</v>
      </c>
      <c r="E13" s="11" t="s">
        <v>13</v>
      </c>
      <c r="F13" s="11">
        <v>81</v>
      </c>
      <c r="G13" s="11">
        <v>89</v>
      </c>
      <c r="H13" s="11">
        <v>58</v>
      </c>
      <c r="I13" s="11">
        <v>14</v>
      </c>
      <c r="J13" s="11">
        <v>7</v>
      </c>
      <c r="K13" s="18">
        <v>11</v>
      </c>
      <c r="M13" s="26">
        <v>125.9</v>
      </c>
      <c r="N13" s="26">
        <v>104.5</v>
      </c>
      <c r="O13" s="26">
        <v>70.171149999999997</v>
      </c>
      <c r="P13" s="10">
        <f>(C24*O13)/B28</f>
        <v>65.563041088695641</v>
      </c>
      <c r="Q13" s="10">
        <f>(((M13*B24)/B27)*P13)/100</f>
        <v>75.273165267344723</v>
      </c>
      <c r="R13" s="10">
        <f>(((A24*N13)/B27)*P13)/100</f>
        <v>66.915915757792689</v>
      </c>
      <c r="S13" s="35">
        <f>(Q13-R13)+3.3</f>
        <v>11.657249509552035</v>
      </c>
      <c r="T13" s="25" t="s">
        <v>81</v>
      </c>
      <c r="U13" s="35">
        <f>S13-1.036*B29</f>
        <v>1.4098233213455416</v>
      </c>
      <c r="V13" s="35">
        <f>S13+1.036*B29</f>
        <v>21.904675697758528</v>
      </c>
    </row>
    <row r="14" spans="1:22" ht="16">
      <c r="A14" s="17">
        <v>26</v>
      </c>
      <c r="B14" s="11">
        <v>26</v>
      </c>
      <c r="C14" s="12">
        <v>46067</v>
      </c>
      <c r="D14" s="13"/>
      <c r="E14" s="11" t="s">
        <v>21</v>
      </c>
      <c r="F14" s="11">
        <v>89</v>
      </c>
      <c r="G14" s="11">
        <v>74</v>
      </c>
      <c r="H14" s="11">
        <v>59</v>
      </c>
      <c r="I14" s="11">
        <v>19</v>
      </c>
      <c r="J14" s="11">
        <v>11</v>
      </c>
      <c r="K14" s="18">
        <v>11</v>
      </c>
      <c r="M14" s="26">
        <v>109.3</v>
      </c>
      <c r="N14" s="26">
        <v>104.7</v>
      </c>
      <c r="O14" s="26">
        <v>72.415624999999991</v>
      </c>
      <c r="P14" s="10">
        <f>(C24*O14)/B28</f>
        <v>67.660122391304341</v>
      </c>
      <c r="Q14" s="10">
        <f>(((A24*N14)/B27)*P14)/100</f>
        <v>69.188434845008445</v>
      </c>
      <c r="R14" s="10">
        <f>(((M14*B24)/B27)*P14)/100</f>
        <v>67.438561783266493</v>
      </c>
      <c r="S14" s="35">
        <f>(Q14-R14)+2.4</f>
        <v>4.1498730617419515</v>
      </c>
      <c r="T14" s="25" t="s">
        <v>81</v>
      </c>
      <c r="U14" s="35">
        <f>S14-1.036*B29</f>
        <v>-6.0975531264645415</v>
      </c>
      <c r="V14" s="35">
        <f>S14+1.036*B29</f>
        <v>14.397299249948444</v>
      </c>
    </row>
    <row r="15" spans="1:22" ht="14">
      <c r="A15" s="17">
        <v>27</v>
      </c>
      <c r="B15" s="11">
        <v>27</v>
      </c>
      <c r="C15" s="12">
        <v>46074</v>
      </c>
      <c r="D15" s="11" t="s">
        <v>43</v>
      </c>
      <c r="E15" s="11" t="s">
        <v>48</v>
      </c>
      <c r="F15" s="11">
        <v>68</v>
      </c>
      <c r="G15" s="11">
        <v>73</v>
      </c>
      <c r="H15" s="11">
        <v>65</v>
      </c>
      <c r="I15" s="11">
        <v>14</v>
      </c>
      <c r="J15" s="11">
        <v>14</v>
      </c>
      <c r="K15" s="18">
        <v>7</v>
      </c>
      <c r="M15" s="26">
        <v>111.6</v>
      </c>
      <c r="N15" s="26">
        <v>107.1</v>
      </c>
      <c r="O15" s="26">
        <v>66.7727</v>
      </c>
      <c r="P15" s="10">
        <f>(C24*O15)/B28</f>
        <v>62.387765822608699</v>
      </c>
      <c r="Q15" s="10">
        <f>(((M15*B24)/B27)*P15)/100</f>
        <v>63.491996952401607</v>
      </c>
      <c r="R15" s="10">
        <f>(((A24*N15)/B27)*P15)/100</f>
        <v>65.25938094014829</v>
      </c>
      <c r="S15" s="35">
        <f>(Q15-R15)+2.7</f>
        <v>0.93261601225331692</v>
      </c>
      <c r="T15" s="25" t="s">
        <v>81</v>
      </c>
      <c r="U15" s="35">
        <f>S15-1.036*B29</f>
        <v>-9.314810175953177</v>
      </c>
      <c r="V15" s="35">
        <f>S15+1.036*B29</f>
        <v>11.180042200459809</v>
      </c>
    </row>
    <row r="16" spans="1:22" ht="16">
      <c r="A16" s="17">
        <v>28</v>
      </c>
      <c r="B16" s="13"/>
      <c r="C16" s="12">
        <v>46077</v>
      </c>
      <c r="D16" s="13"/>
      <c r="E16" s="11" t="s">
        <v>17</v>
      </c>
      <c r="F16" s="13"/>
      <c r="G16" s="13"/>
      <c r="H16" s="13"/>
      <c r="I16" s="13"/>
      <c r="J16" s="13"/>
      <c r="K16" s="19"/>
      <c r="M16" s="26">
        <v>129.6</v>
      </c>
      <c r="N16" s="26">
        <v>89.5</v>
      </c>
      <c r="O16" s="26">
        <v>64.04657499999999</v>
      </c>
      <c r="P16" s="10">
        <f>(C25*O16)/B28</f>
        <v>66.66598709637681</v>
      </c>
      <c r="Q16" s="10">
        <f>(((A25*N16)/B27)*P16)/100</f>
        <v>60.490459949720226</v>
      </c>
      <c r="R16" s="10">
        <f>(((M16*B25)/B27)*P16)/100</f>
        <v>82.817808633302079</v>
      </c>
      <c r="S16" s="41">
        <f>(Q16-R16)+2.4</f>
        <v>-19.927348683581855</v>
      </c>
      <c r="T16" s="25" t="s">
        <v>81</v>
      </c>
      <c r="U16" s="41">
        <f>S16-1.036*B29</f>
        <v>-30.174774871788347</v>
      </c>
      <c r="V16" s="41">
        <f>S16+1.036*B29</f>
        <v>-9.6799224953753615</v>
      </c>
    </row>
    <row r="17" spans="1:22" ht="16">
      <c r="A17" s="17">
        <v>29</v>
      </c>
      <c r="B17" s="13"/>
      <c r="C17" s="12">
        <v>46081</v>
      </c>
      <c r="D17" s="13"/>
      <c r="E17" s="11" t="s">
        <v>10</v>
      </c>
      <c r="F17" s="13"/>
      <c r="G17" s="13"/>
      <c r="H17" s="13"/>
      <c r="I17" s="13"/>
      <c r="J17" s="13"/>
      <c r="K17" s="19"/>
      <c r="M17" s="26">
        <v>123.9</v>
      </c>
      <c r="N17" s="26">
        <v>102.4</v>
      </c>
      <c r="O17" s="26">
        <v>71.502499999999998</v>
      </c>
      <c r="P17" s="10">
        <f>(C25*O17)/B28</f>
        <v>74.426848623188405</v>
      </c>
      <c r="Q17" s="10">
        <f>(((A25*N17)/B27)*P17)/100</f>
        <v>77.266123635950052</v>
      </c>
      <c r="R17" s="10">
        <f>(((M17*B25)/B27)*P17)/100</f>
        <v>88.3924876018867</v>
      </c>
      <c r="S17" s="41">
        <f>(Q17-R17)+2.4</f>
        <v>-8.7263639659366472</v>
      </c>
      <c r="T17" s="25" t="s">
        <v>81</v>
      </c>
      <c r="U17" s="41">
        <f>S17-1.036*B29</f>
        <v>-18.973790154143138</v>
      </c>
      <c r="V17" s="41">
        <f>S17+1.036*B29</f>
        <v>1.5210622222698458</v>
      </c>
    </row>
    <row r="18" spans="1:22" ht="16">
      <c r="A18" s="17">
        <v>30</v>
      </c>
      <c r="B18" s="13"/>
      <c r="C18" s="12">
        <v>46085</v>
      </c>
      <c r="D18" s="13"/>
      <c r="E18" s="11" t="s">
        <v>22</v>
      </c>
      <c r="F18" s="13"/>
      <c r="G18" s="13"/>
      <c r="H18" s="13"/>
      <c r="I18" s="13"/>
      <c r="J18" s="13"/>
      <c r="K18" s="19"/>
      <c r="M18" s="26">
        <v>113.4</v>
      </c>
      <c r="N18" s="26">
        <v>104.9</v>
      </c>
      <c r="O18" s="26">
        <v>71.179200000000009</v>
      </c>
      <c r="P18" s="10">
        <f>(C25*O18)/B28</f>
        <v>74.090326121739139</v>
      </c>
      <c r="Q18" s="10">
        <f>(((A25*N18)/B27)*P18)/100</f>
        <v>78.794613961486135</v>
      </c>
      <c r="R18" s="10">
        <f>(((M18*B25)/B27)*P18)/100</f>
        <v>80.535800606630346</v>
      </c>
      <c r="S18" s="41">
        <f>(Q18-R18)+2.4</f>
        <v>0.65881335485578907</v>
      </c>
      <c r="T18" s="25" t="s">
        <v>81</v>
      </c>
      <c r="U18" s="41">
        <f>S18-1.036*B29</f>
        <v>-9.5886128333507035</v>
      </c>
      <c r="V18" s="41">
        <f>S18+1.036*B29</f>
        <v>10.906239543062282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12</v>
      </c>
      <c r="F19" s="21"/>
      <c r="G19" s="21"/>
      <c r="H19" s="21"/>
      <c r="I19" s="21"/>
      <c r="J19" s="21"/>
      <c r="K19" s="24"/>
      <c r="M19" s="26">
        <v>108.3</v>
      </c>
      <c r="N19" s="26">
        <v>103.3</v>
      </c>
      <c r="O19" s="26">
        <v>69.715424999999996</v>
      </c>
      <c r="P19" s="10">
        <f>(C25*O19)/B28</f>
        <v>72.566684845652176</v>
      </c>
      <c r="Q19" s="10">
        <f>(((M19*B25)/B27)*P19)/100</f>
        <v>75.332114726687266</v>
      </c>
      <c r="R19" s="10">
        <f>(((A25*N19)/B27)*P19)/100</f>
        <v>75.99712134117955</v>
      </c>
      <c r="S19" s="41">
        <f>(Q19-R19)+2.5</f>
        <v>1.8349933855077154</v>
      </c>
      <c r="T19" s="25" t="s">
        <v>81</v>
      </c>
      <c r="U19" s="41">
        <f>S19-1.036*B29</f>
        <v>-8.4124328026987776</v>
      </c>
      <c r="V19" s="41">
        <f>S19+1.036*B29</f>
        <v>12.082419573714208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56.374000000000002</v>
      </c>
      <c r="I21" s="34">
        <v>17.288</v>
      </c>
      <c r="J21" s="34">
        <v>11.313000000000001</v>
      </c>
      <c r="K21" s="34">
        <v>11.196</v>
      </c>
      <c r="M21" s="32" t="s">
        <v>82</v>
      </c>
    </row>
    <row r="22" spans="1:22">
      <c r="F22" s="26"/>
      <c r="G22" s="26"/>
      <c r="H22" s="34">
        <v>62.124000000000002</v>
      </c>
      <c r="I22" s="34">
        <v>20.239999999999998</v>
      </c>
      <c r="J22" s="34">
        <v>10.516</v>
      </c>
      <c r="K22" s="34">
        <v>10.6</v>
      </c>
      <c r="M22" s="30">
        <f>(T2-S2)^2</f>
        <v>90.791577613905858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1" si="0">(T3-S3)^2</f>
        <v>20.047100235150126</v>
      </c>
    </row>
    <row r="24" spans="1:22">
      <c r="A24" s="7">
        <v>113.1</v>
      </c>
      <c r="B24">
        <v>105.6</v>
      </c>
      <c r="C24">
        <f>H21-J21+K21+(0.475*I21)</f>
        <v>64.468800000000002</v>
      </c>
      <c r="F24" s="26"/>
      <c r="G24" s="26"/>
      <c r="H24" s="26"/>
      <c r="I24" s="26"/>
      <c r="J24" s="26"/>
      <c r="K24" s="26"/>
      <c r="M24" s="30">
        <f t="shared" si="0"/>
        <v>61.801192200318127</v>
      </c>
    </row>
    <row r="25" spans="1:22">
      <c r="A25" s="7">
        <v>117.4</v>
      </c>
      <c r="B25">
        <v>111</v>
      </c>
      <c r="C25">
        <f>H22-J22+K22+(0.475*I22)</f>
        <v>71.822000000000003</v>
      </c>
      <c r="F25" s="26"/>
      <c r="G25" s="26"/>
      <c r="H25" s="26"/>
      <c r="I25" s="26"/>
      <c r="J25" s="26"/>
      <c r="K25" s="26"/>
      <c r="M25" s="30">
        <f t="shared" si="0"/>
        <v>96.956370935925648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31.002517274091364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92.34341854649854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1.3030907495433293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22.478856328207286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60.242411654834903</v>
      </c>
    </row>
    <row r="31" spans="1:22">
      <c r="F31" s="26"/>
      <c r="G31" s="26"/>
      <c r="H31" s="26"/>
      <c r="I31" s="26"/>
      <c r="J31" s="26"/>
      <c r="K31" s="26"/>
      <c r="M31" s="31">
        <f t="shared" si="0"/>
        <v>5.9766746143714409</v>
      </c>
    </row>
    <row r="32" spans="1:22">
      <c r="L32" s="33" t="s">
        <v>83</v>
      </c>
      <c r="M32" s="29">
        <f>SUM(M22:M31)</f>
        <v>482.94321015284658</v>
      </c>
    </row>
  </sheetData>
  <mergeCells count="1">
    <mergeCell ref="A21:B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9B8A-6F6B-AE4D-9304-70569662E95B}">
  <dimension ref="A1:V32"/>
  <sheetViews>
    <sheetView zoomScale="125" workbookViewId="0">
      <pane xSplit="5" topLeftCell="P1" activePane="topRight" state="frozen"/>
      <selection pane="topRight" activeCell="Q24" sqref="Q24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14</v>
      </c>
      <c r="B2" s="11">
        <v>14</v>
      </c>
      <c r="C2" s="12">
        <v>46021</v>
      </c>
      <c r="D2" s="11" t="s">
        <v>43</v>
      </c>
      <c r="E2" s="11" t="s">
        <v>46</v>
      </c>
      <c r="F2" s="11">
        <v>69</v>
      </c>
      <c r="G2" s="11">
        <v>76</v>
      </c>
      <c r="H2" s="11">
        <v>60</v>
      </c>
      <c r="I2" s="11">
        <v>17</v>
      </c>
      <c r="J2" s="11">
        <v>8</v>
      </c>
      <c r="K2" s="18">
        <v>7</v>
      </c>
      <c r="M2" s="10">
        <v>119.4</v>
      </c>
      <c r="N2" s="26">
        <v>104.2</v>
      </c>
      <c r="O2" s="10">
        <v>68.519300000000001</v>
      </c>
      <c r="P2" s="10">
        <f>(C24*O2)/B28</f>
        <v>66.307516856666666</v>
      </c>
      <c r="Q2" s="10">
        <f>(((M2*B24)/B27)*P2)/100</f>
        <v>73.223081658779833</v>
      </c>
      <c r="R2" s="10">
        <f>(((A24*N2)/B27)*P2)/100</f>
        <v>66.586489414633576</v>
      </c>
      <c r="S2" s="10">
        <f>(Q2-R2)+3.5</f>
        <v>10.136592244146257</v>
      </c>
      <c r="T2" s="10">
        <f>G2-F2</f>
        <v>7</v>
      </c>
      <c r="U2" s="10">
        <f>S2-1.036*B29</f>
        <v>-0.11083394406023572</v>
      </c>
      <c r="V2" s="10">
        <f>S2+1.036*B29</f>
        <v>20.38401843235275</v>
      </c>
    </row>
    <row r="3" spans="1:22" ht="16">
      <c r="A3" s="17">
        <v>15</v>
      </c>
      <c r="B3" s="11">
        <v>15</v>
      </c>
      <c r="C3" s="12">
        <v>46025</v>
      </c>
      <c r="D3" s="13"/>
      <c r="E3" s="11" t="s">
        <v>19</v>
      </c>
      <c r="F3" s="11">
        <v>68</v>
      </c>
      <c r="G3" s="11">
        <v>73</v>
      </c>
      <c r="H3" s="11">
        <v>52</v>
      </c>
      <c r="I3" s="11">
        <v>22</v>
      </c>
      <c r="J3" s="11">
        <v>6</v>
      </c>
      <c r="K3" s="18">
        <v>10</v>
      </c>
      <c r="M3" s="10">
        <v>115.4</v>
      </c>
      <c r="N3" s="10">
        <v>91.8</v>
      </c>
      <c r="O3" s="10">
        <v>65.54495</v>
      </c>
      <c r="P3" s="10">
        <f>(C24*O3)/B28</f>
        <v>63.429178012536227</v>
      </c>
      <c r="Q3" s="10">
        <f>(((A24*N3)/B27)*P3)/100</f>
        <v>56.116089571422464</v>
      </c>
      <c r="R3" s="10">
        <f>(((M3*B24)/B27)*P3)/100</f>
        <v>67.697994557638992</v>
      </c>
      <c r="S3" s="10">
        <f>(Q3-R3)+2.7</f>
        <v>-8.8819049862165294</v>
      </c>
      <c r="T3" s="10">
        <f>F3-G3</f>
        <v>-5</v>
      </c>
      <c r="U3" s="10">
        <f>S3-1.036*B29</f>
        <v>-19.129331174423022</v>
      </c>
      <c r="V3" s="10">
        <f>S3+1.036*B29</f>
        <v>1.3655212019899636</v>
      </c>
    </row>
    <row r="4" spans="1:22" ht="16">
      <c r="A4" s="17">
        <v>16</v>
      </c>
      <c r="B4" s="11">
        <v>16</v>
      </c>
      <c r="C4" s="12">
        <v>46032</v>
      </c>
      <c r="D4" s="13"/>
      <c r="E4" s="11" t="s">
        <v>4</v>
      </c>
      <c r="F4" s="11">
        <v>72</v>
      </c>
      <c r="G4" s="11">
        <v>83</v>
      </c>
      <c r="H4" s="11">
        <v>64</v>
      </c>
      <c r="I4" s="11">
        <v>11</v>
      </c>
      <c r="J4" s="11">
        <v>13</v>
      </c>
      <c r="K4" s="18">
        <v>12</v>
      </c>
      <c r="M4" s="10">
        <v>117.2</v>
      </c>
      <c r="N4" s="10">
        <v>104.5</v>
      </c>
      <c r="O4" s="10">
        <v>69.786749999999998</v>
      </c>
      <c r="P4" s="10">
        <f>(C24*O4)/B28</f>
        <v>67.534053938043471</v>
      </c>
      <c r="Q4" s="10">
        <f>(((A24*N4)/B27)*P4)/100</f>
        <v>68.013440745790206</v>
      </c>
      <c r="R4" s="10">
        <f>(((M4*B24)/B27)*P4)/100</f>
        <v>73.203415295059955</v>
      </c>
      <c r="S4" s="10">
        <f>(Q4-R4)+2.7</f>
        <v>-2.4899745492697489</v>
      </c>
      <c r="T4" s="10">
        <f>F4-G4</f>
        <v>-11</v>
      </c>
      <c r="U4" s="10">
        <f>S4-1.036*B29</f>
        <v>-12.737400737476243</v>
      </c>
      <c r="V4" s="10">
        <f>S4+1.036*B29</f>
        <v>7.7574516389367441</v>
      </c>
    </row>
    <row r="5" spans="1:22" ht="14">
      <c r="A5" s="17">
        <v>17</v>
      </c>
      <c r="B5" s="11">
        <v>17</v>
      </c>
      <c r="C5" s="12">
        <v>46036</v>
      </c>
      <c r="D5" s="11" t="s">
        <v>43</v>
      </c>
      <c r="E5" s="11" t="s">
        <v>21</v>
      </c>
      <c r="F5" s="11">
        <v>89</v>
      </c>
      <c r="G5" s="11">
        <v>66</v>
      </c>
      <c r="H5" s="11">
        <v>64</v>
      </c>
      <c r="I5" s="11">
        <v>12</v>
      </c>
      <c r="J5" s="11">
        <v>9</v>
      </c>
      <c r="K5" s="18">
        <v>9</v>
      </c>
      <c r="M5" s="10">
        <v>109.3</v>
      </c>
      <c r="N5" s="10">
        <v>104.7</v>
      </c>
      <c r="O5" s="10">
        <v>72.415624999999991</v>
      </c>
      <c r="P5" s="10">
        <f>(C24*O5)/B28</f>
        <v>70.078069615036213</v>
      </c>
      <c r="Q5" s="10">
        <f>(((M5*B24)/B27)*P5)/100</f>
        <v>70.840758657659947</v>
      </c>
      <c r="R5" s="10">
        <f>(((A24*N5)/B27)*P5)/100</f>
        <v>70.710587735603028</v>
      </c>
      <c r="S5" s="10">
        <f>(Q5-R5)+2.4</f>
        <v>2.5301709220569193</v>
      </c>
      <c r="T5" s="10">
        <f>G5-F5</f>
        <v>-23</v>
      </c>
      <c r="U5" s="10">
        <f>S5-1.036*B29</f>
        <v>-7.7172552661495732</v>
      </c>
      <c r="V5" s="10">
        <f>S5+1.036*B29</f>
        <v>12.777597110263413</v>
      </c>
    </row>
    <row r="6" spans="1:22" ht="16">
      <c r="A6" s="17">
        <v>18</v>
      </c>
      <c r="B6" s="11">
        <v>18</v>
      </c>
      <c r="C6" s="12">
        <v>46039</v>
      </c>
      <c r="D6" s="13"/>
      <c r="E6" s="11" t="s">
        <v>7</v>
      </c>
      <c r="F6" s="11">
        <v>59</v>
      </c>
      <c r="G6" s="11">
        <v>100</v>
      </c>
      <c r="H6" s="11">
        <v>55</v>
      </c>
      <c r="I6" s="11">
        <v>16</v>
      </c>
      <c r="J6" s="11">
        <v>7</v>
      </c>
      <c r="K6" s="18">
        <v>9</v>
      </c>
      <c r="M6" s="10">
        <v>122.3</v>
      </c>
      <c r="N6" s="10">
        <v>98.9</v>
      </c>
      <c r="O6" s="10">
        <v>71.274299999999997</v>
      </c>
      <c r="P6" s="10">
        <f>(C24*O6)/B28</f>
        <v>68.973586255217384</v>
      </c>
      <c r="Q6" s="10">
        <f>(((A24*N6)/B27)*P6)/100</f>
        <v>65.740762103586832</v>
      </c>
      <c r="R6" s="10">
        <f>(((M6*B24)/B27)*P6)/100</f>
        <v>78.017167016779055</v>
      </c>
      <c r="S6" s="10">
        <f>(Q6-R6)+2.7</f>
        <v>-9.5764049131922242</v>
      </c>
      <c r="T6" s="10">
        <f>F6-G6</f>
        <v>-41</v>
      </c>
      <c r="U6" s="10">
        <f>S6-1.036*B29</f>
        <v>-19.823831101398717</v>
      </c>
      <c r="V6" s="10">
        <f>S6+1.036*B29</f>
        <v>0.67102127501426878</v>
      </c>
    </row>
    <row r="7" spans="1:22" ht="14">
      <c r="A7" s="17">
        <v>19</v>
      </c>
      <c r="B7" s="11">
        <v>19</v>
      </c>
      <c r="C7" s="12">
        <v>46043</v>
      </c>
      <c r="D7" s="11" t="s">
        <v>43</v>
      </c>
      <c r="E7" s="11" t="s">
        <v>12</v>
      </c>
      <c r="F7" s="11">
        <v>62</v>
      </c>
      <c r="G7" s="11">
        <v>65</v>
      </c>
      <c r="H7" s="11">
        <v>63</v>
      </c>
      <c r="I7" s="11">
        <v>17</v>
      </c>
      <c r="J7" s="11">
        <v>13</v>
      </c>
      <c r="K7" s="18">
        <v>7</v>
      </c>
      <c r="M7" s="27">
        <v>103.6</v>
      </c>
      <c r="N7" s="27">
        <v>97.3</v>
      </c>
      <c r="O7" s="27">
        <v>68.913325</v>
      </c>
      <c r="P7" s="10">
        <f>(C24*O7)/B28</f>
        <v>66.688822843876821</v>
      </c>
      <c r="Q7" s="10">
        <f>(((M7*B24)/B27)*P7)/100</f>
        <v>63.898949498584273</v>
      </c>
      <c r="R7" s="10">
        <f>(((A24*N7)/B27)*P7)/100</f>
        <v>62.534765702793464</v>
      </c>
      <c r="S7" s="10">
        <f>(Q7-R7)+2.5</f>
        <v>3.8641837957908081</v>
      </c>
      <c r="T7" s="10">
        <f>G7-F7</f>
        <v>3</v>
      </c>
      <c r="U7" s="10">
        <f>S7-1.036*B29</f>
        <v>-6.3832423924156849</v>
      </c>
      <c r="V7" s="10">
        <f>S7+1.036*B29</f>
        <v>14.111609983997301</v>
      </c>
    </row>
    <row r="8" spans="1:22" ht="16">
      <c r="A8" s="17">
        <v>20</v>
      </c>
      <c r="B8" s="11">
        <v>20</v>
      </c>
      <c r="C8" s="12">
        <v>46046</v>
      </c>
      <c r="D8" s="13"/>
      <c r="E8" s="11" t="s">
        <v>10</v>
      </c>
      <c r="F8" s="11">
        <v>72</v>
      </c>
      <c r="G8" s="11">
        <v>81</v>
      </c>
      <c r="H8" s="11">
        <v>68</v>
      </c>
      <c r="I8" s="11">
        <v>25</v>
      </c>
      <c r="J8" s="11">
        <v>21</v>
      </c>
      <c r="K8" s="18">
        <v>13</v>
      </c>
      <c r="M8" s="27">
        <v>125.2</v>
      </c>
      <c r="N8" s="27">
        <v>100.9</v>
      </c>
      <c r="O8" s="27">
        <v>71.373625000000004</v>
      </c>
      <c r="P8" s="10">
        <f>(C24*O8)/B28</f>
        <v>69.069705073007256</v>
      </c>
      <c r="Q8" s="10">
        <f>(((A24*N8)/B27)*P8)/100</f>
        <v>67.163667512287901</v>
      </c>
      <c r="R8" s="10">
        <f>(((M8*B24)/B27)*P8)/100</f>
        <v>79.978423985107824</v>
      </c>
      <c r="S8" s="10">
        <f>(Q8-R8)+2.7</f>
        <v>-10.114756472819924</v>
      </c>
      <c r="T8" s="10">
        <f>F8-G8</f>
        <v>-9</v>
      </c>
      <c r="U8" s="10">
        <f>S8-1.036*B29</f>
        <v>-20.362182661026416</v>
      </c>
      <c r="V8" s="10">
        <f>S8+1.036*B29</f>
        <v>0.13266971538656946</v>
      </c>
    </row>
    <row r="9" spans="1:22" ht="16">
      <c r="A9" s="17">
        <v>21</v>
      </c>
      <c r="B9" s="11">
        <v>21</v>
      </c>
      <c r="C9" s="12">
        <v>46049</v>
      </c>
      <c r="D9" s="13"/>
      <c r="E9" s="11" t="s">
        <v>8</v>
      </c>
      <c r="F9" s="11">
        <v>80</v>
      </c>
      <c r="G9" s="11">
        <v>76</v>
      </c>
      <c r="H9" s="11">
        <v>68</v>
      </c>
      <c r="I9" s="11">
        <v>25</v>
      </c>
      <c r="J9" s="11">
        <v>15</v>
      </c>
      <c r="K9" s="18">
        <v>8</v>
      </c>
      <c r="M9" s="27">
        <v>114.7</v>
      </c>
      <c r="N9" s="27">
        <v>105.6</v>
      </c>
      <c r="O9" s="27">
        <v>70.806899999999999</v>
      </c>
      <c r="P9" s="10">
        <f>(C24*O9)/B28</f>
        <v>68.521273791739134</v>
      </c>
      <c r="Q9" s="10">
        <f>(((A24*N9)/B27)*P9)/100</f>
        <v>69.73406483460225</v>
      </c>
      <c r="R9" s="10">
        <f>(((M9*B24)/B27)*P9)/100</f>
        <v>72.689177904061012</v>
      </c>
      <c r="S9" s="10">
        <f>(Q9-R9)+2.7</f>
        <v>-0.25511306945876111</v>
      </c>
      <c r="T9" s="10">
        <f>F9-G9</f>
        <v>4</v>
      </c>
      <c r="U9" s="10">
        <f>S9-1.036*B29</f>
        <v>-10.502539257665255</v>
      </c>
      <c r="V9" s="10">
        <f>S9+1.036*B29</f>
        <v>9.992313118747731</v>
      </c>
    </row>
    <row r="10" spans="1:22" ht="14">
      <c r="A10" s="17">
        <v>22</v>
      </c>
      <c r="B10" s="11">
        <v>22</v>
      </c>
      <c r="C10" s="12">
        <v>46053</v>
      </c>
      <c r="D10" s="11" t="s">
        <v>43</v>
      </c>
      <c r="E10" s="11" t="s">
        <v>19</v>
      </c>
      <c r="F10" s="11">
        <v>52</v>
      </c>
      <c r="G10" s="11">
        <v>63</v>
      </c>
      <c r="H10" s="11">
        <v>53</v>
      </c>
      <c r="I10" s="11">
        <v>11</v>
      </c>
      <c r="J10" s="11">
        <v>15</v>
      </c>
      <c r="K10" s="18">
        <v>13</v>
      </c>
      <c r="M10" s="27">
        <v>115.4</v>
      </c>
      <c r="N10" s="27">
        <v>91.8</v>
      </c>
      <c r="O10" s="27">
        <v>65.54495</v>
      </c>
      <c r="P10" s="10">
        <f>(C24*O10)/B28</f>
        <v>63.429178012536227</v>
      </c>
      <c r="Q10" s="10">
        <f>(((M10*B24)/B27)*P10)/100</f>
        <v>67.697994557638992</v>
      </c>
      <c r="R10" s="10">
        <f>(((A24*N10)/B27)*P10)/100</f>
        <v>56.116089571422464</v>
      </c>
      <c r="S10" s="10">
        <f>(Q10-R10)+4</f>
        <v>15.581904986216529</v>
      </c>
      <c r="T10" s="10">
        <f>G10-F10</f>
        <v>11</v>
      </c>
      <c r="U10" s="10">
        <f>S10-1.036*B29</f>
        <v>5.3344787980100357</v>
      </c>
      <c r="V10" s="10">
        <f>S10+1.036*B29</f>
        <v>25.829331174423022</v>
      </c>
    </row>
    <row r="11" spans="1:22" ht="14">
      <c r="A11" s="17">
        <v>23</v>
      </c>
      <c r="B11" s="11">
        <v>23</v>
      </c>
      <c r="C11" s="12">
        <v>46056</v>
      </c>
      <c r="D11" s="11" t="s">
        <v>43</v>
      </c>
      <c r="E11" s="11" t="s">
        <v>5</v>
      </c>
      <c r="F11" s="11">
        <v>47</v>
      </c>
      <c r="G11" s="11">
        <v>67</v>
      </c>
      <c r="H11" s="11">
        <v>46</v>
      </c>
      <c r="I11" s="11">
        <v>12</v>
      </c>
      <c r="J11" s="11">
        <v>6</v>
      </c>
      <c r="K11" s="18">
        <v>17</v>
      </c>
      <c r="M11" s="26">
        <v>121.8</v>
      </c>
      <c r="N11" s="26">
        <v>94.7</v>
      </c>
      <c r="O11" s="26">
        <v>66.483699999999999</v>
      </c>
      <c r="P11" s="10">
        <f>(C24*O11)/B28</f>
        <v>64.337625434637687</v>
      </c>
      <c r="Q11" s="10">
        <f>(((M11*B24)/B27)*P11)/100</f>
        <v>72.475835018761046</v>
      </c>
      <c r="R11" s="10">
        <f>(((A24*N11)/B27)*P11)/100</f>
        <v>58.717917198486802</v>
      </c>
      <c r="S11" s="10">
        <f>(Q11-R11)+3.8</f>
        <v>17.557917820274245</v>
      </c>
      <c r="T11" s="25">
        <f>G11-F11</f>
        <v>20</v>
      </c>
      <c r="U11" s="10">
        <f>S11-1.036*B29</f>
        <v>7.3104916320677518</v>
      </c>
      <c r="V11" s="10">
        <f>S11+1.036*B29</f>
        <v>27.805344008480738</v>
      </c>
    </row>
    <row r="12" spans="1:22" ht="16">
      <c r="A12" s="17">
        <v>24</v>
      </c>
      <c r="B12" s="11">
        <v>24</v>
      </c>
      <c r="C12" s="12">
        <v>46060</v>
      </c>
      <c r="D12" s="13"/>
      <c r="E12" s="11" t="s">
        <v>13</v>
      </c>
      <c r="F12" s="11">
        <v>67</v>
      </c>
      <c r="G12" s="11">
        <v>86</v>
      </c>
      <c r="H12" s="11">
        <v>61</v>
      </c>
      <c r="I12" s="11">
        <v>19</v>
      </c>
      <c r="J12" s="11">
        <v>10</v>
      </c>
      <c r="K12" s="18">
        <v>12</v>
      </c>
      <c r="M12" s="26">
        <v>125.9</v>
      </c>
      <c r="N12" s="26">
        <v>104.5</v>
      </c>
      <c r="O12" s="26">
        <v>70.171149999999997</v>
      </c>
      <c r="P12" s="10">
        <f>(C24*O12)/B28</f>
        <v>67.906045617463775</v>
      </c>
      <c r="Q12" s="10">
        <f>(((A24*N12)/B27)*P12)/100</f>
        <v>68.388072987908984</v>
      </c>
      <c r="R12" s="10">
        <f>(((M12*B24)/B27)*P12)/100</f>
        <v>79.070608760005499</v>
      </c>
      <c r="S12" s="35">
        <f>(Q12-R12)+2.7</f>
        <v>-7.9825357720965142</v>
      </c>
      <c r="T12" s="25" t="s">
        <v>81</v>
      </c>
      <c r="U12" s="35">
        <f>S12-1.036*B29</f>
        <v>-18.229961960303008</v>
      </c>
      <c r="V12" s="35">
        <f>S12+1.036*B29</f>
        <v>2.2648904161099788</v>
      </c>
    </row>
    <row r="13" spans="1:22" ht="16">
      <c r="A13" s="17">
        <v>25</v>
      </c>
      <c r="B13" s="11">
        <v>25</v>
      </c>
      <c r="C13" s="12">
        <v>46063</v>
      </c>
      <c r="D13" s="13"/>
      <c r="E13" s="11" t="s">
        <v>17</v>
      </c>
      <c r="F13" s="11">
        <v>54</v>
      </c>
      <c r="G13" s="11">
        <v>70</v>
      </c>
      <c r="H13" s="11">
        <v>54</v>
      </c>
      <c r="I13" s="11">
        <v>8</v>
      </c>
      <c r="J13" s="11">
        <v>5</v>
      </c>
      <c r="K13" s="18">
        <v>9</v>
      </c>
      <c r="M13" s="26">
        <v>126.9</v>
      </c>
      <c r="N13" s="26">
        <v>94.6</v>
      </c>
      <c r="O13" s="26">
        <v>71.7059</v>
      </c>
      <c r="P13" s="10">
        <f>(C24*O13)/B28</f>
        <v>69.391254332318837</v>
      </c>
      <c r="Q13" s="10">
        <f>(((A24*N13)/B27)*P13)/100</f>
        <v>63.263251540401512</v>
      </c>
      <c r="R13" s="10">
        <f>(((M13*B24)/B27)*P13)/100</f>
        <v>81.441782704490663</v>
      </c>
      <c r="S13" s="35">
        <f>(Q13-R13)+2.7</f>
        <v>-15.478531164089151</v>
      </c>
      <c r="T13" s="25" t="s">
        <v>81</v>
      </c>
      <c r="U13" s="35">
        <f>S13-1.036*B29</f>
        <v>-25.725957352295644</v>
      </c>
      <c r="V13" s="35">
        <f>S13+1.036*B29</f>
        <v>-5.2311049758826584</v>
      </c>
    </row>
    <row r="14" spans="1:22" ht="14">
      <c r="A14" s="17">
        <v>26</v>
      </c>
      <c r="B14" s="11">
        <v>26</v>
      </c>
      <c r="C14" s="12">
        <v>46067</v>
      </c>
      <c r="D14" s="11" t="s">
        <v>43</v>
      </c>
      <c r="E14" s="11" t="s">
        <v>18</v>
      </c>
      <c r="F14" s="11">
        <v>65</v>
      </c>
      <c r="G14" s="11">
        <v>79</v>
      </c>
      <c r="H14" s="11">
        <v>55</v>
      </c>
      <c r="I14" s="11">
        <v>8</v>
      </c>
      <c r="J14" s="11">
        <v>6</v>
      </c>
      <c r="K14" s="18">
        <v>11</v>
      </c>
      <c r="M14" s="26">
        <v>128.80000000000001</v>
      </c>
      <c r="N14" s="26">
        <v>107</v>
      </c>
      <c r="O14" s="26">
        <v>71.825850000000003</v>
      </c>
      <c r="P14" s="10">
        <f>(C24*O14)/B28</f>
        <v>69.507332381086954</v>
      </c>
      <c r="Q14" s="10">
        <f>(((M14*B24)/B27)*P14)/100</f>
        <v>82.799439238709553</v>
      </c>
      <c r="R14" s="10">
        <f>(((A24*N14)/B27)*P14)/100</f>
        <v>71.675384924787167</v>
      </c>
      <c r="S14" s="35">
        <f>(Q14-R14)+3.7</f>
        <v>14.824054313922385</v>
      </c>
      <c r="T14" s="25" t="s">
        <v>81</v>
      </c>
      <c r="U14" s="35">
        <f>S14-1.036*B29</f>
        <v>4.5766281257158923</v>
      </c>
      <c r="V14" s="35">
        <f>S14+1.036*B29</f>
        <v>25.071480502128878</v>
      </c>
    </row>
    <row r="15" spans="1:22" ht="16">
      <c r="A15" s="17">
        <v>27</v>
      </c>
      <c r="B15" s="11">
        <v>27</v>
      </c>
      <c r="C15" s="12">
        <v>46074</v>
      </c>
      <c r="D15" s="13"/>
      <c r="E15" s="11" t="s">
        <v>16</v>
      </c>
      <c r="F15" s="11">
        <v>73</v>
      </c>
      <c r="G15" s="11">
        <v>68</v>
      </c>
      <c r="H15" s="11">
        <v>49</v>
      </c>
      <c r="I15" s="11">
        <v>27</v>
      </c>
      <c r="J15" s="11">
        <v>8</v>
      </c>
      <c r="K15" s="18">
        <v>10</v>
      </c>
      <c r="M15" s="26">
        <v>113.1</v>
      </c>
      <c r="N15" s="26">
        <v>105.6</v>
      </c>
      <c r="O15" s="26">
        <v>64.468800000000002</v>
      </c>
      <c r="P15" s="10">
        <f>(C24*O15)/B28</f>
        <v>62.387765822608699</v>
      </c>
      <c r="Q15" s="10">
        <f>(((A24*N15)/B27)*P15)/100</f>
        <v>63.491996952401607</v>
      </c>
      <c r="R15" s="10">
        <f>(((M15*B24)/B27)*P15)/100</f>
        <v>65.25938094014829</v>
      </c>
      <c r="S15" s="35">
        <f>(Q15-R15)+2.7</f>
        <v>0.93261601225331692</v>
      </c>
      <c r="T15" s="25" t="s">
        <v>81</v>
      </c>
      <c r="U15" s="35">
        <f>S15-1.036*B29</f>
        <v>-9.314810175953177</v>
      </c>
      <c r="V15" s="35">
        <f>S15+1.036*B29</f>
        <v>11.180042200459809</v>
      </c>
    </row>
    <row r="16" spans="1:22" ht="16">
      <c r="A16" s="17">
        <v>28</v>
      </c>
      <c r="B16" s="13"/>
      <c r="C16" s="12">
        <v>46078</v>
      </c>
      <c r="D16" s="11" t="s">
        <v>43</v>
      </c>
      <c r="E16" s="11" t="s">
        <v>22</v>
      </c>
      <c r="F16" s="13"/>
      <c r="G16" s="13"/>
      <c r="H16" s="13"/>
      <c r="I16" s="13"/>
      <c r="J16" s="13"/>
      <c r="K16" s="19"/>
      <c r="M16" s="26">
        <v>113.4</v>
      </c>
      <c r="N16" s="26">
        <v>104.9</v>
      </c>
      <c r="O16" s="26">
        <v>71.179200000000009</v>
      </c>
      <c r="P16" s="10">
        <f>(C25*O16)/B28</f>
        <v>70.02888223304349</v>
      </c>
      <c r="Q16" s="10">
        <f>(((M16*B25)/B27)*P16)/100</f>
        <v>73.30935437951473</v>
      </c>
      <c r="R16" s="10">
        <f>(((A25*N16)/B27)*P16)/100</f>
        <v>67.877822353052693</v>
      </c>
      <c r="S16" s="41">
        <f>(Q16-R16)+2.3</f>
        <v>7.7315320264620366</v>
      </c>
      <c r="T16" s="25" t="s">
        <v>81</v>
      </c>
      <c r="U16" s="41">
        <f>S16-1.036*B29</f>
        <v>-2.5158941617444563</v>
      </c>
      <c r="V16" s="41">
        <f>S16+1.036*B29</f>
        <v>17.978958214668531</v>
      </c>
    </row>
    <row r="17" spans="1:22" ht="16">
      <c r="A17" s="17">
        <v>29</v>
      </c>
      <c r="B17" s="13"/>
      <c r="C17" s="12">
        <v>46081</v>
      </c>
      <c r="D17" s="11" t="s">
        <v>43</v>
      </c>
      <c r="E17" s="11" t="s">
        <v>20</v>
      </c>
      <c r="F17" s="13"/>
      <c r="G17" s="13"/>
      <c r="H17" s="13"/>
      <c r="I17" s="13"/>
      <c r="J17" s="13"/>
      <c r="K17" s="19"/>
      <c r="M17" s="26">
        <v>117.8</v>
      </c>
      <c r="N17" s="26">
        <v>102.1</v>
      </c>
      <c r="O17" s="26">
        <v>69.373500000000007</v>
      </c>
      <c r="P17" s="10">
        <f>(C25*O17)/B28</f>
        <v>68.252363915217401</v>
      </c>
      <c r="Q17" s="10">
        <f>(((M17*B25)/B27)*P17)/100</f>
        <v>74.221911343594826</v>
      </c>
      <c r="R17" s="10">
        <f>(((A25*N17)/B27)*P17)/100</f>
        <v>64.390034547890806</v>
      </c>
      <c r="S17" s="41">
        <f>(Q17-R17)+2.8</f>
        <v>12.63187679570402</v>
      </c>
      <c r="T17" s="25" t="s">
        <v>81</v>
      </c>
      <c r="U17" s="41">
        <f>S17-1.036*B29</f>
        <v>2.3844506074975271</v>
      </c>
      <c r="V17" s="41">
        <f>S17+1.036*B29</f>
        <v>22.879302983910513</v>
      </c>
    </row>
    <row r="18" spans="1:22" ht="16">
      <c r="A18" s="17">
        <v>30</v>
      </c>
      <c r="B18" s="13"/>
      <c r="C18" s="12">
        <v>46085</v>
      </c>
      <c r="D18" s="13"/>
      <c r="E18" s="11" t="s">
        <v>15</v>
      </c>
      <c r="F18" s="13"/>
      <c r="G18" s="13"/>
      <c r="H18" s="13"/>
      <c r="I18" s="13"/>
      <c r="J18" s="13"/>
      <c r="K18" s="19"/>
      <c r="M18" s="26">
        <v>118</v>
      </c>
      <c r="N18" s="26">
        <v>98.9</v>
      </c>
      <c r="O18" s="26">
        <v>68.945975000000004</v>
      </c>
      <c r="P18" s="10">
        <f>(C25*O18)/B28</f>
        <v>67.831748090978266</v>
      </c>
      <c r="Q18" s="10">
        <f>(((A25*N18)/B27)*P18)/100</f>
        <v>61.987556806835876</v>
      </c>
      <c r="R18" s="10">
        <f>(((M18*B25)/B27)*P18)/100</f>
        <v>73.88974410787722</v>
      </c>
      <c r="S18" s="41">
        <f>(Q18-R18)+2.7</f>
        <v>-9.2021873010413451</v>
      </c>
      <c r="T18" s="25" t="s">
        <v>81</v>
      </c>
      <c r="U18" s="41">
        <f>S18-1.036*B29</f>
        <v>-19.449613489247838</v>
      </c>
      <c r="V18" s="41">
        <f>S18+1.036*B29</f>
        <v>1.0452388871651479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4</v>
      </c>
      <c r="F19" s="21"/>
      <c r="G19" s="21"/>
      <c r="H19" s="21"/>
      <c r="I19" s="21"/>
      <c r="J19" s="21"/>
      <c r="K19" s="24"/>
      <c r="M19" s="26">
        <v>116.9</v>
      </c>
      <c r="N19" s="26">
        <v>107.9</v>
      </c>
      <c r="O19" s="26">
        <v>65.703800000000001</v>
      </c>
      <c r="P19" s="10">
        <f>(C25*O19)/B28</f>
        <v>64.641969458260874</v>
      </c>
      <c r="Q19" s="10">
        <f>(((M19*B25)/B27)*P19)/100</f>
        <v>69.758677197909975</v>
      </c>
      <c r="R19" s="10">
        <f>(((A25*N19)/B27)*P19)/100</f>
        <v>64.448266838208923</v>
      </c>
      <c r="S19" s="41">
        <f>(Q19-R19)+3.1</f>
        <v>8.4104103597010518</v>
      </c>
      <c r="T19" s="25" t="s">
        <v>81</v>
      </c>
      <c r="U19" s="41">
        <f>S19-1.036*B29</f>
        <v>-1.8370158285054412</v>
      </c>
      <c r="V19" s="41">
        <f>S19+1.036*B29</f>
        <v>18.657836547907543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59.802999999999997</v>
      </c>
      <c r="I21" s="34">
        <v>16.891999999999999</v>
      </c>
      <c r="J21" s="34">
        <v>9.7159999999999993</v>
      </c>
      <c r="K21" s="34">
        <v>8.6620000000000008</v>
      </c>
      <c r="M21" s="32" t="s">
        <v>82</v>
      </c>
    </row>
    <row r="22" spans="1:22">
      <c r="F22" s="26"/>
      <c r="G22" s="26"/>
      <c r="H22" s="34">
        <v>57.468000000000004</v>
      </c>
      <c r="I22" s="34">
        <v>15.884</v>
      </c>
      <c r="J22" s="34">
        <v>8.18</v>
      </c>
      <c r="K22" s="34">
        <v>11.052</v>
      </c>
      <c r="M22" s="30">
        <f>(T2-S2)^2</f>
        <v>9.8382109060384551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1" si="0">(T3-S3)^2</f>
        <v>15.069186322012753</v>
      </c>
    </row>
    <row r="24" spans="1:22">
      <c r="A24" s="7">
        <v>111.6</v>
      </c>
      <c r="B24">
        <v>107.1</v>
      </c>
      <c r="C24">
        <f>H21-J21+K21+(0.475*I21)</f>
        <v>66.7727</v>
      </c>
      <c r="F24" s="26"/>
      <c r="G24" s="26"/>
      <c r="H24" s="26"/>
      <c r="I24" s="26"/>
      <c r="J24" s="26"/>
      <c r="K24" s="26"/>
      <c r="M24" s="30">
        <f t="shared" si="0"/>
        <v>72.420533172076603</v>
      </c>
    </row>
    <row r="25" spans="1:22">
      <c r="A25" s="7">
        <v>107</v>
      </c>
      <c r="B25">
        <v>106.9</v>
      </c>
      <c r="C25">
        <f>H22-J22+K22+(0.475*I22)</f>
        <v>67.884900000000002</v>
      </c>
      <c r="F25" s="26"/>
      <c r="G25" s="26"/>
      <c r="H25" s="26"/>
      <c r="I25" s="26"/>
      <c r="J25" s="26"/>
      <c r="K25" s="26"/>
      <c r="M25" s="30">
        <f t="shared" si="0"/>
        <v>651.78962730944056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987.44232817964973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0.7468136329074091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1.2426819936939169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18.105987233878761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20.993853302715888</v>
      </c>
    </row>
    <row r="31" spans="1:22">
      <c r="F31" s="26"/>
      <c r="G31" s="26"/>
      <c r="H31" s="26"/>
      <c r="I31" s="26"/>
      <c r="J31" s="26"/>
      <c r="K31" s="26"/>
      <c r="M31" s="31">
        <f t="shared" si="0"/>
        <v>5.9637653725340956</v>
      </c>
    </row>
    <row r="32" spans="1:22">
      <c r="L32" s="33" t="s">
        <v>83</v>
      </c>
      <c r="M32" s="29">
        <f>SUM(M22:M31)</f>
        <v>1783.612987424948</v>
      </c>
    </row>
  </sheetData>
  <mergeCells count="1">
    <mergeCell ref="A21:B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B103-346A-9F4A-B875-89E5D1AC730E}">
  <dimension ref="A1:V31"/>
  <sheetViews>
    <sheetView zoomScale="125" workbookViewId="0">
      <pane xSplit="5" topLeftCell="R1" activePane="topRight" state="frozen"/>
      <selection pane="topRight" activeCell="N21" sqref="N21"/>
    </sheetView>
  </sheetViews>
  <sheetFormatPr baseColWidth="10" defaultRowHeight="13"/>
  <cols>
    <col min="13" max="13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46025</v>
      </c>
      <c r="D2" s="13"/>
      <c r="E2" s="11" t="s">
        <v>18</v>
      </c>
      <c r="F2" s="11">
        <v>97</v>
      </c>
      <c r="G2" s="11">
        <v>83</v>
      </c>
      <c r="H2" s="11">
        <v>60</v>
      </c>
      <c r="I2" s="11">
        <v>16</v>
      </c>
      <c r="J2" s="11">
        <v>3</v>
      </c>
      <c r="K2" s="18">
        <v>6</v>
      </c>
      <c r="M2" s="10">
        <v>128.80000000000001</v>
      </c>
      <c r="N2" s="26">
        <v>107</v>
      </c>
      <c r="O2" s="10">
        <v>71.825850000000003</v>
      </c>
      <c r="P2" s="10">
        <f>(C24*O2)/B28</f>
        <v>73.044963684456519</v>
      </c>
      <c r="Q2" s="10">
        <f>(((A24*N2)/B27)*P2)/100</f>
        <v>84.97501030072705</v>
      </c>
      <c r="R2" s="10">
        <f>(((M2*B24)/B27)*P2)/100</f>
        <v>84.901208394413729</v>
      </c>
      <c r="S2" s="10">
        <f>(Q2-R2)+3.3</f>
        <v>3.3738019063133207</v>
      </c>
      <c r="T2" s="10">
        <f>F2-G2</f>
        <v>14</v>
      </c>
      <c r="U2" s="10">
        <f>S2-1.036*B29</f>
        <v>-6.8736242818931723</v>
      </c>
      <c r="V2" s="10">
        <f>S2+1.036*B29</f>
        <v>13.621228094519815</v>
      </c>
    </row>
    <row r="3" spans="1:22" ht="14">
      <c r="A3" s="17">
        <v>15</v>
      </c>
      <c r="B3" s="11">
        <v>15</v>
      </c>
      <c r="C3" s="12">
        <v>46029</v>
      </c>
      <c r="D3" s="11" t="s">
        <v>43</v>
      </c>
      <c r="E3" s="11" t="s">
        <v>19</v>
      </c>
      <c r="F3" s="11">
        <v>70</v>
      </c>
      <c r="G3" s="11">
        <v>74</v>
      </c>
      <c r="H3" s="11">
        <v>51</v>
      </c>
      <c r="I3" s="11">
        <v>29</v>
      </c>
      <c r="J3" s="11">
        <v>10</v>
      </c>
      <c r="K3" s="18">
        <v>12</v>
      </c>
      <c r="M3" s="10">
        <v>115.4</v>
      </c>
      <c r="N3" s="10">
        <v>91.8</v>
      </c>
      <c r="O3" s="10">
        <v>65.54495</v>
      </c>
      <c r="P3" s="10">
        <f>(C24*O3)/B28</f>
        <v>66.657456785398537</v>
      </c>
      <c r="Q3" s="10">
        <f>(((M3*B24)/B27)*P3)/100</f>
        <v>69.416430795523027</v>
      </c>
      <c r="R3" s="10">
        <f>(((A24*N3)/B27)*P3)/100</f>
        <v>66.528631752336608</v>
      </c>
      <c r="S3" s="10">
        <f>(Q3-R3)+4</f>
        <v>6.8877990431864191</v>
      </c>
      <c r="T3" s="10">
        <f>G3-F3</f>
        <v>4</v>
      </c>
      <c r="U3" s="10">
        <f>S3-1.036*B29</f>
        <v>-3.3596271450200739</v>
      </c>
      <c r="V3" s="10">
        <f>S3+1.036*B29</f>
        <v>17.135225231392912</v>
      </c>
    </row>
    <row r="4" spans="1:22" ht="14">
      <c r="A4" s="17">
        <v>16</v>
      </c>
      <c r="B4" s="11">
        <v>16</v>
      </c>
      <c r="C4" s="12">
        <v>46032</v>
      </c>
      <c r="D4" s="11" t="s">
        <v>43</v>
      </c>
      <c r="E4" s="11" t="s">
        <v>17</v>
      </c>
      <c r="F4" s="11">
        <v>75</v>
      </c>
      <c r="G4" s="11">
        <v>82</v>
      </c>
      <c r="H4" s="11">
        <v>53</v>
      </c>
      <c r="I4" s="11">
        <v>9</v>
      </c>
      <c r="J4" s="11">
        <v>7</v>
      </c>
      <c r="K4" s="18">
        <v>19</v>
      </c>
      <c r="M4" s="10">
        <v>126.9</v>
      </c>
      <c r="N4" s="10">
        <v>94.6</v>
      </c>
      <c r="O4" s="10">
        <v>71.7059</v>
      </c>
      <c r="P4" s="10">
        <f>(C24*O4)/B28</f>
        <v>72.922977750507243</v>
      </c>
      <c r="Q4" s="10">
        <f>(((M4*B24)/B27)*P4)/100</f>
        <v>83.509089300376871</v>
      </c>
      <c r="R4" s="10">
        <f>(((A24*N4)/B27)*P4)/100</f>
        <v>75.001975321712109</v>
      </c>
      <c r="S4" s="10">
        <f>(Q4-R4)+4.5</f>
        <v>13.007113978664762</v>
      </c>
      <c r="T4" s="10">
        <f>G4-F4</f>
        <v>7</v>
      </c>
      <c r="U4" s="10">
        <f>S4-1.036*B29</f>
        <v>2.7596877904582691</v>
      </c>
      <c r="V4" s="10">
        <f>S4+1.036*B29</f>
        <v>23.254540166871255</v>
      </c>
    </row>
    <row r="5" spans="1:22" ht="16">
      <c r="A5" s="17">
        <v>17</v>
      </c>
      <c r="B5" s="11">
        <v>17</v>
      </c>
      <c r="C5" s="12">
        <v>46036</v>
      </c>
      <c r="D5" s="13"/>
      <c r="E5" s="11" t="s">
        <v>9</v>
      </c>
      <c r="F5" s="11">
        <v>77</v>
      </c>
      <c r="G5" s="11">
        <v>76</v>
      </c>
      <c r="H5" s="11">
        <v>60</v>
      </c>
      <c r="I5" s="11">
        <v>23</v>
      </c>
      <c r="J5" s="11">
        <v>9</v>
      </c>
      <c r="K5" s="18">
        <v>10</v>
      </c>
      <c r="M5" s="10">
        <v>115.3</v>
      </c>
      <c r="N5" s="10">
        <v>100.9</v>
      </c>
      <c r="O5" s="10">
        <v>68.663174999999995</v>
      </c>
      <c r="P5" s="10">
        <f>(C24*O5)/B28</f>
        <v>69.828608005815198</v>
      </c>
      <c r="Q5" s="10">
        <f>(((A24*N5)/B27)*P5)/100</f>
        <v>76.602284487595199</v>
      </c>
      <c r="R5" s="10">
        <f>(((M5*B24)/B27)*P5)/100</f>
        <v>72.655822415446153</v>
      </c>
      <c r="S5" s="10">
        <f>(Q5-R5)+3.3</f>
        <v>7.246462072149046</v>
      </c>
      <c r="T5" s="10">
        <f>F5-G5</f>
        <v>1</v>
      </c>
      <c r="U5" s="10">
        <f>S5-1.036*B29</f>
        <v>-3.000964116057447</v>
      </c>
      <c r="V5" s="10">
        <f>S5+1.036*B29</f>
        <v>17.49388826035554</v>
      </c>
    </row>
    <row r="6" spans="1:22" ht="16">
      <c r="A6" s="17">
        <v>18</v>
      </c>
      <c r="B6" s="11">
        <v>18</v>
      </c>
      <c r="C6" s="12">
        <v>46039</v>
      </c>
      <c r="D6" s="13"/>
      <c r="E6" s="11" t="s">
        <v>5</v>
      </c>
      <c r="F6" s="11">
        <v>68</v>
      </c>
      <c r="G6" s="11">
        <v>72</v>
      </c>
      <c r="H6" s="11">
        <v>61</v>
      </c>
      <c r="I6" s="11">
        <v>14</v>
      </c>
      <c r="J6" s="11">
        <v>11</v>
      </c>
      <c r="K6" s="18">
        <v>7</v>
      </c>
      <c r="M6" s="10">
        <v>121.8</v>
      </c>
      <c r="N6" s="10">
        <v>94.7</v>
      </c>
      <c r="O6" s="10">
        <v>66.483699999999999</v>
      </c>
      <c r="P6" s="10">
        <f>(C24*O6)/B28</f>
        <v>67.612140366014486</v>
      </c>
      <c r="Q6" s="10">
        <f>(((A24*N6)/B27)*P6)/100</f>
        <v>69.613237850267012</v>
      </c>
      <c r="R6" s="10">
        <f>(((M6*B24)/B27)*P6)/100</f>
        <v>74.315551277432562</v>
      </c>
      <c r="S6" s="10">
        <f>(Q6-R6)+3.3</f>
        <v>-1.4023134271655495</v>
      </c>
      <c r="T6" s="10">
        <f>F6-G6</f>
        <v>-4</v>
      </c>
      <c r="U6" s="10">
        <f>S6-1.036*B29</f>
        <v>-11.649739615372042</v>
      </c>
      <c r="V6" s="10">
        <f>S6+1.036*B29</f>
        <v>8.8451127610409443</v>
      </c>
    </row>
    <row r="7" spans="1:22" ht="14">
      <c r="A7" s="17">
        <v>19</v>
      </c>
      <c r="B7" s="11">
        <v>19</v>
      </c>
      <c r="C7" s="12">
        <v>46042</v>
      </c>
      <c r="D7" s="11" t="s">
        <v>43</v>
      </c>
      <c r="E7" s="11" t="s">
        <v>8</v>
      </c>
      <c r="F7" s="11">
        <v>91</v>
      </c>
      <c r="G7" s="11">
        <v>79</v>
      </c>
      <c r="H7" s="11">
        <v>64</v>
      </c>
      <c r="I7" s="11">
        <v>18</v>
      </c>
      <c r="J7" s="11">
        <v>9</v>
      </c>
      <c r="K7" s="18">
        <v>14</v>
      </c>
      <c r="M7" s="27">
        <v>114.7</v>
      </c>
      <c r="N7" s="27">
        <v>105.6</v>
      </c>
      <c r="O7" s="27">
        <v>70.806899999999999</v>
      </c>
      <c r="P7" s="10">
        <f>(C24*O7)/B28</f>
        <v>72.008718854130436</v>
      </c>
      <c r="Q7" s="10">
        <f>(((M7*B24)/B27)*P7)/100</f>
        <v>74.534309628103244</v>
      </c>
      <c r="R7" s="10">
        <f>(((A24*N7)/B27)*P7)/100</f>
        <v>82.673471287946299</v>
      </c>
      <c r="S7" s="10">
        <f>(Q7-R7)+2.3</f>
        <v>-5.8391616598430547</v>
      </c>
      <c r="T7" s="10">
        <f>G7-F7</f>
        <v>-12</v>
      </c>
      <c r="U7" s="10">
        <f>S7-1.036*B29</f>
        <v>-16.086587848049547</v>
      </c>
      <c r="V7" s="10">
        <f>S7+1.036*B29</f>
        <v>4.4082645283634383</v>
      </c>
    </row>
    <row r="8" spans="1:22" ht="16">
      <c r="A8" s="17">
        <v>20</v>
      </c>
      <c r="B8" s="11">
        <v>20</v>
      </c>
      <c r="C8" s="12">
        <v>46046</v>
      </c>
      <c r="D8" s="13"/>
      <c r="E8" s="11" t="s">
        <v>15</v>
      </c>
      <c r="F8" s="11">
        <v>83</v>
      </c>
      <c r="G8" s="11">
        <v>80</v>
      </c>
      <c r="H8" s="11">
        <v>63</v>
      </c>
      <c r="I8" s="11">
        <v>23</v>
      </c>
      <c r="J8" s="11">
        <v>12</v>
      </c>
      <c r="K8" s="18">
        <v>7</v>
      </c>
      <c r="M8" s="27">
        <v>116.5</v>
      </c>
      <c r="N8" s="27">
        <v>104.7</v>
      </c>
      <c r="O8" s="27">
        <v>71.247624999999999</v>
      </c>
      <c r="P8" s="10">
        <f>(C24*O8)/B28</f>
        <v>72.456924362590584</v>
      </c>
      <c r="Q8" s="10">
        <f>(((A24*N8)/B27)*P8)/100</f>
        <v>82.479068530059706</v>
      </c>
      <c r="R8" s="10">
        <f>(((M8*B24)/B27)*P8)/100</f>
        <v>76.175190969021457</v>
      </c>
      <c r="S8" s="10">
        <f>(Q8-R8)+3.3</f>
        <v>9.6038775610382494</v>
      </c>
      <c r="T8" s="10">
        <f>F8-G8</f>
        <v>3</v>
      </c>
      <c r="U8" s="10">
        <f>S8-1.036*B29</f>
        <v>-0.64354862716824357</v>
      </c>
      <c r="V8" s="10">
        <f>S8+1.036*B29</f>
        <v>19.851303749244742</v>
      </c>
    </row>
    <row r="9" spans="1:22" ht="14">
      <c r="A9" s="17">
        <v>21</v>
      </c>
      <c r="B9" s="11">
        <v>21</v>
      </c>
      <c r="C9" s="12">
        <v>46053</v>
      </c>
      <c r="D9" s="11" t="s">
        <v>43</v>
      </c>
      <c r="E9" s="11" t="s">
        <v>7</v>
      </c>
      <c r="F9" s="11">
        <v>74</v>
      </c>
      <c r="G9" s="11">
        <v>88</v>
      </c>
      <c r="H9" s="11">
        <v>62</v>
      </c>
      <c r="I9" s="11">
        <v>9</v>
      </c>
      <c r="J9" s="11">
        <v>9</v>
      </c>
      <c r="K9" s="18">
        <v>16</v>
      </c>
      <c r="M9" s="27">
        <v>122.3</v>
      </c>
      <c r="N9" s="27">
        <v>98.9</v>
      </c>
      <c r="O9" s="27">
        <v>71.274299999999997</v>
      </c>
      <c r="P9" s="10">
        <f>(C24*O9)/B28</f>
        <v>72.484052122391304</v>
      </c>
      <c r="Q9" s="10">
        <f>(((M9*B24)/B27)*P9)/100</f>
        <v>79.997543656511539</v>
      </c>
      <c r="R9" s="10">
        <f>(((A24*N9)/B27)*P9)/100</f>
        <v>77.939196877588671</v>
      </c>
      <c r="S9" s="10">
        <f>(Q9-R9)+3.5</f>
        <v>5.5583467789228678</v>
      </c>
      <c r="T9" s="10">
        <f>G9-F9</f>
        <v>14</v>
      </c>
      <c r="U9" s="10">
        <f>S9-1.036*B29</f>
        <v>-4.6890794092836252</v>
      </c>
      <c r="V9" s="10">
        <f>S9+1.036*B29</f>
        <v>15.805772967129361</v>
      </c>
    </row>
    <row r="10" spans="1:22" ht="16">
      <c r="A10" s="17">
        <v>22</v>
      </c>
      <c r="B10" s="11">
        <v>22</v>
      </c>
      <c r="C10" s="12">
        <v>46056</v>
      </c>
      <c r="D10" s="13"/>
      <c r="E10" s="11" t="s">
        <v>10</v>
      </c>
      <c r="F10" s="11">
        <v>83</v>
      </c>
      <c r="G10" s="11">
        <v>84</v>
      </c>
      <c r="H10" s="11">
        <v>67</v>
      </c>
      <c r="I10" s="11">
        <v>12</v>
      </c>
      <c r="J10" s="11">
        <v>11</v>
      </c>
      <c r="K10" s="18">
        <v>8</v>
      </c>
      <c r="M10" s="27">
        <v>125.2</v>
      </c>
      <c r="N10" s="27">
        <v>100.9</v>
      </c>
      <c r="O10" s="27">
        <v>71.373625000000004</v>
      </c>
      <c r="P10" s="10">
        <f>(C24*O10)/B28</f>
        <v>72.58506298432971</v>
      </c>
      <c r="Q10" s="10">
        <f>(((A24*N10)/B27)*P10)/100</f>
        <v>79.626127500817404</v>
      </c>
      <c r="R10" s="10">
        <f>(((M10*B24)/B27)*P10)/100</f>
        <v>82.008584891984398</v>
      </c>
      <c r="S10" s="10">
        <f>(Q10-R10)+3.3</f>
        <v>0.91754260883300542</v>
      </c>
      <c r="T10" s="10">
        <f>F10-G10</f>
        <v>-1</v>
      </c>
      <c r="U10" s="10">
        <f>S10-1.036*B29</f>
        <v>-9.3298835793734867</v>
      </c>
      <c r="V10" s="10">
        <f>S10+1.036*B29</f>
        <v>11.164968797039499</v>
      </c>
    </row>
    <row r="11" spans="1:22" ht="14">
      <c r="A11" s="17">
        <v>23</v>
      </c>
      <c r="B11" s="11">
        <v>23</v>
      </c>
      <c r="C11" s="12">
        <v>46060</v>
      </c>
      <c r="D11" s="11" t="s">
        <v>43</v>
      </c>
      <c r="E11" s="11" t="s">
        <v>48</v>
      </c>
      <c r="F11" s="11">
        <v>86</v>
      </c>
      <c r="G11" s="11">
        <v>67</v>
      </c>
      <c r="H11" s="11">
        <v>56</v>
      </c>
      <c r="I11" s="11">
        <v>17</v>
      </c>
      <c r="J11" s="11">
        <v>7</v>
      </c>
      <c r="K11" s="18">
        <v>9</v>
      </c>
      <c r="M11" s="26">
        <v>111.6</v>
      </c>
      <c r="N11" s="26">
        <v>107.1</v>
      </c>
      <c r="O11" s="26">
        <v>66.7727</v>
      </c>
      <c r="P11" s="10">
        <f>(C24*O11)/B28</f>
        <v>67.906045617463775</v>
      </c>
      <c r="Q11" s="10">
        <f>(((M11*B24)/B27)*P11)/100</f>
        <v>68.388072987908984</v>
      </c>
      <c r="R11" s="10">
        <f>(((A24*N11)/B27)*P11)/100</f>
        <v>79.070608760005499</v>
      </c>
      <c r="S11" s="35">
        <f>(Q11-R11)+2.7</f>
        <v>-7.9825357720965142</v>
      </c>
      <c r="T11" s="25" t="s">
        <v>81</v>
      </c>
      <c r="U11" s="35">
        <f>S11-1.036*B29</f>
        <v>-18.229961960303008</v>
      </c>
      <c r="V11" s="35">
        <f>S11+1.036*B29</f>
        <v>2.2648904161099788</v>
      </c>
    </row>
    <row r="12" spans="1:22" ht="16">
      <c r="A12" s="17">
        <v>24</v>
      </c>
      <c r="B12" s="11">
        <v>24</v>
      </c>
      <c r="C12" s="12">
        <v>46063</v>
      </c>
      <c r="D12" s="13"/>
      <c r="E12" s="11" t="s">
        <v>16</v>
      </c>
      <c r="F12" s="11">
        <v>89</v>
      </c>
      <c r="G12" s="11">
        <v>81</v>
      </c>
      <c r="H12" s="11">
        <v>61</v>
      </c>
      <c r="I12" s="11">
        <v>16</v>
      </c>
      <c r="J12" s="11">
        <v>12</v>
      </c>
      <c r="K12" s="18">
        <v>14</v>
      </c>
      <c r="M12" s="26">
        <v>113.1</v>
      </c>
      <c r="N12" s="26">
        <v>105.6</v>
      </c>
      <c r="O12" s="26">
        <v>64.468800000000002</v>
      </c>
      <c r="P12" s="10">
        <f>(C24*O12)/B28</f>
        <v>65.563041088695641</v>
      </c>
      <c r="Q12" s="10">
        <f>(((A24*N12)/B27)*P12)/100</f>
        <v>75.273165267344723</v>
      </c>
      <c r="R12" s="10">
        <f>(((M12*B24)/B27)*P12)/100</f>
        <v>66.915915757792689</v>
      </c>
      <c r="S12" s="35">
        <f>(Q12-R12)+3.3</f>
        <v>11.657249509552035</v>
      </c>
      <c r="T12" s="25" t="s">
        <v>81</v>
      </c>
      <c r="U12" s="35">
        <f>S12-1.036*B29</f>
        <v>1.4098233213455416</v>
      </c>
      <c r="V12" s="35">
        <f>S12+1.036*B29</f>
        <v>21.904675697758528</v>
      </c>
    </row>
    <row r="13" spans="1:22" ht="14">
      <c r="A13" s="17">
        <v>25</v>
      </c>
      <c r="B13" s="11">
        <v>25</v>
      </c>
      <c r="C13" s="12">
        <v>46067</v>
      </c>
      <c r="D13" s="11" t="s">
        <v>43</v>
      </c>
      <c r="E13" s="11" t="s">
        <v>4</v>
      </c>
      <c r="F13" s="11">
        <v>78</v>
      </c>
      <c r="G13" s="11">
        <v>79</v>
      </c>
      <c r="H13" s="11">
        <v>67</v>
      </c>
      <c r="I13" s="11">
        <v>17</v>
      </c>
      <c r="J13" s="11">
        <v>12</v>
      </c>
      <c r="K13" s="18">
        <v>6</v>
      </c>
      <c r="M13" s="26">
        <v>117.2</v>
      </c>
      <c r="N13" s="26">
        <v>104.5</v>
      </c>
      <c r="O13" s="26">
        <v>69.786749999999998</v>
      </c>
      <c r="P13" s="10">
        <f>(C24*O13)/B28</f>
        <v>70.971253655978259</v>
      </c>
      <c r="Q13" s="10">
        <f>(((M13*B24)/B27)*P13)/100</f>
        <v>75.061600347688085</v>
      </c>
      <c r="R13" s="10">
        <f>(((A24*N13)/B27)*P13)/100</f>
        <v>80.633579213088154</v>
      </c>
      <c r="S13" s="35">
        <f>(Q13-R13)+3.1</f>
        <v>-2.4719788654000694</v>
      </c>
      <c r="T13" s="25" t="s">
        <v>81</v>
      </c>
      <c r="U13" s="35">
        <f>S13-1.036*B29</f>
        <v>-12.719405053606563</v>
      </c>
      <c r="V13" s="35">
        <f>S13+1.036*B29</f>
        <v>7.7754473228064231</v>
      </c>
    </row>
    <row r="14" spans="1:22" ht="16">
      <c r="A14" s="17">
        <v>26</v>
      </c>
      <c r="B14" s="11">
        <v>26</v>
      </c>
      <c r="C14" s="12">
        <v>46070</v>
      </c>
      <c r="D14" s="13"/>
      <c r="E14" s="11" t="s">
        <v>7</v>
      </c>
      <c r="F14" s="11">
        <v>95</v>
      </c>
      <c r="G14" s="11">
        <v>85</v>
      </c>
      <c r="H14" s="11">
        <v>65</v>
      </c>
      <c r="I14" s="11">
        <v>12</v>
      </c>
      <c r="J14" s="11">
        <v>4</v>
      </c>
      <c r="K14" s="18">
        <v>10</v>
      </c>
      <c r="M14" s="26">
        <v>122.3</v>
      </c>
      <c r="N14" s="26">
        <v>98.9</v>
      </c>
      <c r="O14" s="26">
        <v>71.274299999999997</v>
      </c>
      <c r="P14" s="10">
        <f>(C24*O14)/B28</f>
        <v>72.484052122391304</v>
      </c>
      <c r="Q14" s="10">
        <f>(((A24*N14)/B27)*P14)/100</f>
        <v>77.939196877588671</v>
      </c>
      <c r="R14" s="10">
        <f>(((M14*B24)/B27)*P14)/100</f>
        <v>79.997543656511539</v>
      </c>
      <c r="S14" s="35">
        <f>(Q14-R14)+3.3</f>
        <v>1.2416532210771321</v>
      </c>
      <c r="T14" s="25" t="s">
        <v>81</v>
      </c>
      <c r="U14" s="35">
        <f>S14-1.036*B29</f>
        <v>-9.00577296712936</v>
      </c>
      <c r="V14" s="35">
        <f>S14+1.036*B29</f>
        <v>11.489079409283626</v>
      </c>
    </row>
    <row r="15" spans="1:22" ht="16">
      <c r="A15" s="17">
        <v>27</v>
      </c>
      <c r="B15" s="11">
        <v>27</v>
      </c>
      <c r="C15" s="12">
        <v>46074</v>
      </c>
      <c r="D15" s="13"/>
      <c r="E15" s="11" t="s">
        <v>12</v>
      </c>
      <c r="F15" s="11">
        <v>94</v>
      </c>
      <c r="G15" s="11">
        <v>70</v>
      </c>
      <c r="H15" s="11">
        <v>61</v>
      </c>
      <c r="I15" s="11">
        <v>25</v>
      </c>
      <c r="J15" s="11">
        <v>8</v>
      </c>
      <c r="K15" s="18">
        <v>4</v>
      </c>
      <c r="M15" s="26">
        <v>103.6</v>
      </c>
      <c r="N15" s="26">
        <v>97.3</v>
      </c>
      <c r="O15" s="26">
        <v>68.913325</v>
      </c>
      <c r="P15" s="10">
        <f>(C24*O15)/B28</f>
        <v>70.083003848894919</v>
      </c>
      <c r="Q15" s="10">
        <f>(((A24*N15)/B27)*P15)/100</f>
        <v>74.138316317722982</v>
      </c>
      <c r="R15" s="10">
        <f>(((M15*B24)/B27)*P15)/100</f>
        <v>65.520951318558389</v>
      </c>
      <c r="S15" s="35">
        <f>(Q15-R15)+3.3</f>
        <v>11.917364999164594</v>
      </c>
      <c r="T15" s="25" t="s">
        <v>81</v>
      </c>
      <c r="U15" s="35">
        <f>S15-1.036*B29</f>
        <v>1.6699388109581008</v>
      </c>
      <c r="V15" s="35">
        <f>S15+1.036*B29</f>
        <v>22.164791187371087</v>
      </c>
    </row>
    <row r="16" spans="1:22" ht="16">
      <c r="A16" s="17">
        <v>28</v>
      </c>
      <c r="B16" s="13"/>
      <c r="C16" s="12">
        <v>46078</v>
      </c>
      <c r="D16" s="11" t="s">
        <v>43</v>
      </c>
      <c r="E16" s="11" t="s">
        <v>20</v>
      </c>
      <c r="F16" s="13"/>
      <c r="G16" s="13"/>
      <c r="H16" s="13"/>
      <c r="I16" s="13"/>
      <c r="J16" s="13"/>
      <c r="K16" s="19"/>
      <c r="M16" s="26">
        <v>117.8</v>
      </c>
      <c r="N16" s="26">
        <v>102.1</v>
      </c>
      <c r="O16" s="26">
        <v>69.373500000000007</v>
      </c>
      <c r="P16" s="10">
        <f>(C25*O16)/B28</f>
        <v>68.961356058152177</v>
      </c>
      <c r="Q16" s="10">
        <f>(((M16*B25)/B27)*P16)/100</f>
        <v>74.50184718269989</v>
      </c>
      <c r="R16" s="10">
        <f>(((A25*N16)/B27)*P16)/100</f>
        <v>78.557108410796531</v>
      </c>
      <c r="S16" s="41">
        <f>(Q16-R16)+2.8</f>
        <v>-1.2552612280966402</v>
      </c>
      <c r="T16" s="25" t="s">
        <v>81</v>
      </c>
      <c r="U16" s="41">
        <f>S16-1.036*B29</f>
        <v>-11.502687416303132</v>
      </c>
      <c r="V16" s="41">
        <f>S16+1.036*B29</f>
        <v>8.9921649601098537</v>
      </c>
    </row>
    <row r="17" spans="1:22" ht="16">
      <c r="A17" s="17">
        <v>29</v>
      </c>
      <c r="B17" s="13"/>
      <c r="C17" s="12">
        <v>46081</v>
      </c>
      <c r="D17" s="11" t="s">
        <v>43</v>
      </c>
      <c r="E17" s="11" t="s">
        <v>22</v>
      </c>
      <c r="F17" s="13"/>
      <c r="G17" s="13"/>
      <c r="H17" s="13"/>
      <c r="I17" s="13"/>
      <c r="J17" s="13"/>
      <c r="K17" s="19"/>
      <c r="M17" s="26">
        <v>113.4</v>
      </c>
      <c r="N17" s="26">
        <v>104.9</v>
      </c>
      <c r="O17" s="26">
        <v>71.179200000000009</v>
      </c>
      <c r="P17" s="10">
        <f>(C25*O17)/B28</f>
        <v>70.756328499130447</v>
      </c>
      <c r="Q17" s="10">
        <f>(((M17*B25)/B27)*P17)/100</f>
        <v>73.585848412893625</v>
      </c>
      <c r="R17" s="10">
        <f>(((A25*N17)/B27)*P17)/100</f>
        <v>82.812278122193007</v>
      </c>
      <c r="S17" s="41">
        <f>(Q17-R17)+2.3</f>
        <v>-6.9264297092993816</v>
      </c>
      <c r="T17" s="25" t="s">
        <v>81</v>
      </c>
      <c r="U17" s="41">
        <f>S17-1.036*B29</f>
        <v>-17.173855897505874</v>
      </c>
      <c r="V17" s="41">
        <f>S17+1.036*B29</f>
        <v>3.3209964789071114</v>
      </c>
    </row>
    <row r="18" spans="1:22" ht="16">
      <c r="A18" s="17">
        <v>30</v>
      </c>
      <c r="B18" s="13"/>
      <c r="C18" s="12">
        <v>46085</v>
      </c>
      <c r="D18" s="13"/>
      <c r="E18" s="11" t="s">
        <v>46</v>
      </c>
      <c r="F18" s="13"/>
      <c r="G18" s="13"/>
      <c r="H18" s="13"/>
      <c r="I18" s="13"/>
      <c r="J18" s="13"/>
      <c r="K18" s="19"/>
      <c r="M18" s="26">
        <v>120.1</v>
      </c>
      <c r="N18" s="26">
        <v>102.6</v>
      </c>
      <c r="O18" s="26">
        <v>69.528774999999996</v>
      </c>
      <c r="P18" s="10">
        <f>(C25*O18)/B28</f>
        <v>69.115708578378616</v>
      </c>
      <c r="Q18" s="10">
        <f>(((A25*N18)/B27)*P18)/100</f>
        <v>79.118506360820433</v>
      </c>
      <c r="R18" s="10">
        <f>(((M18*B25)/B27)*P18)/100</f>
        <v>76.126476593088043</v>
      </c>
      <c r="S18" s="41">
        <f>(Q18-R18)+3.3</f>
        <v>6.29202976773239</v>
      </c>
      <c r="T18" s="25" t="s">
        <v>81</v>
      </c>
      <c r="U18" s="41">
        <f>S18-1.036*B29</f>
        <v>-3.955396420474103</v>
      </c>
      <c r="V18" s="41">
        <f>S18+1.036*B29</f>
        <v>16.539455955938884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15</v>
      </c>
      <c r="F19" s="21"/>
      <c r="G19" s="21"/>
      <c r="H19" s="21"/>
      <c r="I19" s="21"/>
      <c r="J19" s="21"/>
      <c r="K19" s="24"/>
      <c r="M19" s="26">
        <v>118</v>
      </c>
      <c r="N19" s="26">
        <v>98.9</v>
      </c>
      <c r="O19" s="26">
        <v>68.945975000000004</v>
      </c>
      <c r="P19" s="10">
        <f>(C25*O19)/B28</f>
        <v>68.536370959393111</v>
      </c>
      <c r="Q19" s="10">
        <f>(((M19*B25)/B27)*P19)/100</f>
        <v>74.168427142895581</v>
      </c>
      <c r="R19" s="10">
        <f>(((A25*N19)/B27)*P19)/100</f>
        <v>75.626038320778065</v>
      </c>
      <c r="S19" s="41">
        <f>(Q19-R19)+2.6</f>
        <v>1.1423888221175162</v>
      </c>
      <c r="T19" s="25" t="s">
        <v>81</v>
      </c>
      <c r="U19" s="41">
        <f>S19-1.036*B29</f>
        <v>-9.1050373660889772</v>
      </c>
      <c r="V19" s="41">
        <f>S19+1.036*B29</f>
        <v>11.389815010324009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59.287999999999997</v>
      </c>
      <c r="I21" s="34">
        <v>17.154</v>
      </c>
      <c r="J21" s="34">
        <v>6.3869999999999996</v>
      </c>
      <c r="K21" s="34">
        <v>9.1219999999999999</v>
      </c>
      <c r="M21" s="32" t="s">
        <v>82</v>
      </c>
    </row>
    <row r="22" spans="1:22">
      <c r="F22" s="26"/>
      <c r="G22" s="26"/>
      <c r="H22" s="34">
        <v>59.683999999999997</v>
      </c>
      <c r="I22" s="34">
        <v>16.817</v>
      </c>
      <c r="J22" s="34">
        <v>8.24</v>
      </c>
      <c r="K22" s="34">
        <v>9.1579999999999995</v>
      </c>
      <c r="M22" s="30">
        <f>(T2-S2)^2</f>
        <v>112.9160859262704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0" si="0">(T3-S3)^2</f>
        <v>8.3393833138283977</v>
      </c>
    </row>
    <row r="24" spans="1:22">
      <c r="A24" s="7">
        <v>125.9</v>
      </c>
      <c r="B24">
        <v>104.5</v>
      </c>
      <c r="C24">
        <f>H21-J21+K21+(0.475*I21)</f>
        <v>70.171149999999997</v>
      </c>
      <c r="F24" s="26"/>
      <c r="G24" s="26"/>
      <c r="H24" s="26"/>
      <c r="I24" s="26"/>
      <c r="J24" s="26"/>
      <c r="K24" s="26"/>
      <c r="M24" s="30">
        <f t="shared" si="0"/>
        <v>36.085418352669585</v>
      </c>
    </row>
    <row r="25" spans="1:22">
      <c r="A25" s="7">
        <v>129.19999999999999</v>
      </c>
      <c r="B25">
        <v>106.2</v>
      </c>
      <c r="C25">
        <f>H22-J22+K22+(0.475*I22)</f>
        <v>68.590074999999999</v>
      </c>
      <c r="F25" s="26"/>
      <c r="G25" s="26"/>
      <c r="H25" s="26"/>
      <c r="I25" s="26"/>
      <c r="J25" s="26"/>
      <c r="K25" s="26"/>
      <c r="M25" s="30">
        <f t="shared" si="0"/>
        <v>39.018288418796551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6.7479755306843927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37.955929053547784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43.611198841184496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71.261509104921927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3.6769696566900882</v>
      </c>
    </row>
    <row r="31" spans="1:22">
      <c r="F31" s="26"/>
      <c r="G31" s="26"/>
      <c r="H31" s="26"/>
      <c r="I31" s="26"/>
      <c r="J31" s="26"/>
      <c r="K31" s="26"/>
      <c r="L31" s="33" t="s">
        <v>83</v>
      </c>
      <c r="M31" s="29">
        <f>SUM(M22:M30)</f>
        <v>359.61275819859355</v>
      </c>
    </row>
  </sheetData>
  <mergeCells count="1">
    <mergeCell ref="A21:B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ECAC-4895-C74A-A20F-DAF81D4E5251}">
  <dimension ref="A1:V32"/>
  <sheetViews>
    <sheetView zoomScale="125" workbookViewId="0">
      <pane xSplit="5" topLeftCell="Q1" activePane="topRight" state="frozen"/>
      <selection pane="topRight" activeCell="H26" sqref="H26"/>
    </sheetView>
  </sheetViews>
  <sheetFormatPr baseColWidth="10" defaultRowHeight="13"/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46021</v>
      </c>
      <c r="D2" s="13"/>
      <c r="E2" s="11" t="s">
        <v>16</v>
      </c>
      <c r="F2" s="11">
        <v>40</v>
      </c>
      <c r="G2" s="11">
        <v>47</v>
      </c>
      <c r="H2" s="11">
        <v>56</v>
      </c>
      <c r="I2" s="11">
        <v>12</v>
      </c>
      <c r="J2" s="11">
        <v>10</v>
      </c>
      <c r="K2" s="18">
        <v>6</v>
      </c>
      <c r="M2" s="10">
        <v>113.1</v>
      </c>
      <c r="N2" s="26">
        <v>105.6</v>
      </c>
      <c r="O2" s="10">
        <v>64.468800000000002</v>
      </c>
      <c r="P2" s="10">
        <f>(C24*O2)/B28</f>
        <v>58.556520516521736</v>
      </c>
      <c r="Q2" s="10">
        <f>(((A24*N2)/B27)*P2)/100</f>
        <v>59.592940589498106</v>
      </c>
      <c r="R2" s="10">
        <f>(((M2*B24)/B27)*P2)/100</f>
        <v>59.364479138985445</v>
      </c>
      <c r="S2" s="10">
        <f>(Q2-R2)+2.3</f>
        <v>2.528461450512661</v>
      </c>
      <c r="T2" s="10">
        <f>F2-G2</f>
        <v>-7</v>
      </c>
      <c r="U2" s="10">
        <f>S2-1.036*B29</f>
        <v>-7.718964737693832</v>
      </c>
      <c r="V2" s="10">
        <f>S2+1.036*B29</f>
        <v>12.775887638719155</v>
      </c>
    </row>
    <row r="3" spans="1:22" ht="16">
      <c r="A3" s="17">
        <v>15</v>
      </c>
      <c r="B3" s="11">
        <v>15</v>
      </c>
      <c r="C3" s="12">
        <v>46024</v>
      </c>
      <c r="D3" s="13"/>
      <c r="E3" s="11" t="s">
        <v>7</v>
      </c>
      <c r="F3" s="11">
        <v>80</v>
      </c>
      <c r="G3" s="11">
        <v>76</v>
      </c>
      <c r="H3" s="11">
        <v>54</v>
      </c>
      <c r="I3" s="11">
        <v>31</v>
      </c>
      <c r="J3" s="11">
        <v>8</v>
      </c>
      <c r="K3" s="18">
        <v>9</v>
      </c>
      <c r="M3" s="10">
        <v>122.3</v>
      </c>
      <c r="N3" s="10">
        <v>98.9</v>
      </c>
      <c r="O3" s="10">
        <v>71.274299999999997</v>
      </c>
      <c r="P3" s="10">
        <f>(C24*O3)/B28</f>
        <v>64.737904385543473</v>
      </c>
      <c r="Q3" s="10">
        <f>(((A24*N3)/B27)*P3)/100</f>
        <v>61.703608618332972</v>
      </c>
      <c r="R3" s="10">
        <f>(((M3*B24)/B27)*P3)/100</f>
        <v>70.969850113932139</v>
      </c>
      <c r="S3" s="10">
        <f>(Q3-R3)+2.3</f>
        <v>-6.9662414955991681</v>
      </c>
      <c r="T3" s="10">
        <f>F3-G3</f>
        <v>4</v>
      </c>
      <c r="U3" s="10">
        <f>S3-1.036*B29</f>
        <v>-17.21366768380566</v>
      </c>
      <c r="V3" s="10">
        <f>S3+1.036*B29</f>
        <v>3.2811846926073249</v>
      </c>
    </row>
    <row r="4" spans="1:22" ht="14">
      <c r="A4" s="17">
        <v>16</v>
      </c>
      <c r="B4" s="11">
        <v>16</v>
      </c>
      <c r="C4" s="12">
        <v>46029</v>
      </c>
      <c r="D4" s="11" t="s">
        <v>43</v>
      </c>
      <c r="E4" s="11" t="s">
        <v>9</v>
      </c>
      <c r="F4" s="11">
        <v>69</v>
      </c>
      <c r="G4" s="11">
        <v>68</v>
      </c>
      <c r="H4" s="11">
        <v>58</v>
      </c>
      <c r="I4" s="11">
        <v>9</v>
      </c>
      <c r="J4" s="11">
        <v>10</v>
      </c>
      <c r="K4" s="18">
        <v>8</v>
      </c>
      <c r="M4" s="10">
        <v>115.3</v>
      </c>
      <c r="N4" s="10">
        <v>100.9</v>
      </c>
      <c r="O4" s="10">
        <v>68.663174999999995</v>
      </c>
      <c r="P4" s="10">
        <f>(C24*O4)/B28</f>
        <v>62.366239415298907</v>
      </c>
      <c r="Q4" s="10">
        <f>(((M4*B24)/B27)*P4)/100</f>
        <v>64.456639429690455</v>
      </c>
      <c r="R4" s="10">
        <f>(((A24*N4)/B27)*P4)/100</f>
        <v>60.645189720346153</v>
      </c>
      <c r="S4" s="10">
        <f>(Q4-R4)+3.2</f>
        <v>7.0114497093443022</v>
      </c>
      <c r="T4" s="10">
        <f>G4-F4</f>
        <v>-1</v>
      </c>
      <c r="U4" s="10">
        <f>S4-1.036*B29</f>
        <v>-3.2359764788621908</v>
      </c>
      <c r="V4" s="10">
        <f>S4+1.036*B29</f>
        <v>17.258875897550794</v>
      </c>
    </row>
    <row r="5" spans="1:22" ht="14">
      <c r="A5" s="17">
        <v>17</v>
      </c>
      <c r="B5" s="11">
        <v>17</v>
      </c>
      <c r="C5" s="12">
        <v>46032</v>
      </c>
      <c r="D5" s="11" t="s">
        <v>43</v>
      </c>
      <c r="E5" s="11" t="s">
        <v>5</v>
      </c>
      <c r="F5" s="11">
        <v>55</v>
      </c>
      <c r="G5" s="11">
        <v>70</v>
      </c>
      <c r="H5" s="11">
        <v>56</v>
      </c>
      <c r="I5" s="11">
        <v>17</v>
      </c>
      <c r="J5" s="11">
        <v>9</v>
      </c>
      <c r="K5" s="18">
        <v>7</v>
      </c>
      <c r="M5" s="10">
        <v>121.8</v>
      </c>
      <c r="N5" s="10">
        <v>94.7</v>
      </c>
      <c r="O5" s="10">
        <v>66.483699999999999</v>
      </c>
      <c r="P5" s="10">
        <f>(C24*O5)/B28</f>
        <v>60.386638855760857</v>
      </c>
      <c r="Q5" s="10">
        <f>(((M5*B24)/B27)*P5)/100</f>
        <v>65.929068496646607</v>
      </c>
      <c r="R5" s="10">
        <f>(((A24*N5)/B27)*P5)/100</f>
        <v>55.112038037986686</v>
      </c>
      <c r="S5" s="10">
        <f>(Q5-R5)+3.8</f>
        <v>14.617030458659922</v>
      </c>
      <c r="T5" s="10">
        <f>G5-F5</f>
        <v>15</v>
      </c>
      <c r="U5" s="10">
        <f>S5-1.036*B29</f>
        <v>4.3696042704534293</v>
      </c>
      <c r="V5" s="10">
        <f>S5+1.036*B29</f>
        <v>24.864456646866415</v>
      </c>
    </row>
    <row r="6" spans="1:22" ht="16">
      <c r="A6" s="17">
        <v>18</v>
      </c>
      <c r="B6" s="11">
        <v>18</v>
      </c>
      <c r="C6" s="12">
        <v>46036</v>
      </c>
      <c r="D6" s="13"/>
      <c r="E6" s="11" t="s">
        <v>18</v>
      </c>
      <c r="F6" s="11">
        <v>95</v>
      </c>
      <c r="G6" s="11">
        <v>90</v>
      </c>
      <c r="H6" s="11">
        <v>56</v>
      </c>
      <c r="I6" s="11">
        <v>23</v>
      </c>
      <c r="J6" s="11">
        <v>2</v>
      </c>
      <c r="K6" s="18">
        <v>8</v>
      </c>
      <c r="M6" s="10">
        <v>128.80000000000001</v>
      </c>
      <c r="N6" s="10">
        <v>107</v>
      </c>
      <c r="O6" s="10">
        <v>71.825850000000003</v>
      </c>
      <c r="P6" s="10">
        <f>(C24*O6)/B28</f>
        <v>65.238873053967382</v>
      </c>
      <c r="Q6" s="10">
        <f>(((A24*N6)/B27)*P6)/100</f>
        <v>67.273785052852787</v>
      </c>
      <c r="R6" s="10">
        <f>(((M6*B24)/B27)*P6)/100</f>
        <v>75.320138079674763</v>
      </c>
      <c r="S6" s="10">
        <f>(Q6-R6)+2.3</f>
        <v>-5.7463530268219758</v>
      </c>
      <c r="T6" s="10">
        <f>F6-G6</f>
        <v>5</v>
      </c>
      <c r="U6" s="10">
        <f>S6-1.036*B29</f>
        <v>-15.993779215028468</v>
      </c>
      <c r="V6" s="10">
        <f>S6+1.036*B29</f>
        <v>4.5010731613845172</v>
      </c>
    </row>
    <row r="7" spans="1:22" ht="16">
      <c r="A7" s="17">
        <v>19</v>
      </c>
      <c r="B7" s="11">
        <v>19</v>
      </c>
      <c r="C7" s="12">
        <v>46039</v>
      </c>
      <c r="D7" s="13"/>
      <c r="E7" s="11" t="s">
        <v>17</v>
      </c>
      <c r="F7" s="11">
        <v>50</v>
      </c>
      <c r="G7" s="11">
        <v>80</v>
      </c>
      <c r="H7" s="11">
        <v>54</v>
      </c>
      <c r="I7" s="11">
        <v>10</v>
      </c>
      <c r="J7" s="11">
        <v>10</v>
      </c>
      <c r="K7" s="18">
        <v>17</v>
      </c>
      <c r="M7" s="27">
        <v>126.9</v>
      </c>
      <c r="N7" s="27">
        <v>94.6</v>
      </c>
      <c r="O7" s="27">
        <v>71.7059</v>
      </c>
      <c r="P7" s="10">
        <f>(C24*O7)/B28</f>
        <v>65.129923381630434</v>
      </c>
      <c r="Q7" s="10">
        <f>(((A24*N7)/B27)*P7)/100</f>
        <v>59.378242479472355</v>
      </c>
      <c r="R7" s="10">
        <f>(((M7*B24)/B27)*P7)/100</f>
        <v>74.085119116233159</v>
      </c>
      <c r="S7" s="10">
        <f>(Q7-R7)+2.3</f>
        <v>-12.406876636760803</v>
      </c>
      <c r="T7" s="10">
        <f>F7-G7</f>
        <v>-30</v>
      </c>
      <c r="U7" s="10">
        <f>S7-1.036*B29</f>
        <v>-22.654302824967296</v>
      </c>
      <c r="V7" s="10">
        <f>S7+1.036*B29</f>
        <v>-2.1594504485543098</v>
      </c>
    </row>
    <row r="8" spans="1:22" ht="16">
      <c r="A8" s="17">
        <v>20</v>
      </c>
      <c r="B8" s="11">
        <v>20</v>
      </c>
      <c r="C8" s="12">
        <v>46046</v>
      </c>
      <c r="D8" s="13"/>
      <c r="E8" s="11" t="s">
        <v>20</v>
      </c>
      <c r="F8" s="11">
        <v>66</v>
      </c>
      <c r="G8" s="11">
        <v>78</v>
      </c>
      <c r="H8" s="11">
        <v>66</v>
      </c>
      <c r="I8" s="11">
        <v>31</v>
      </c>
      <c r="J8" s="11">
        <v>14</v>
      </c>
      <c r="K8" s="18">
        <v>6</v>
      </c>
      <c r="M8" s="27">
        <v>114.8</v>
      </c>
      <c r="N8" s="27">
        <v>103</v>
      </c>
      <c r="O8" s="27">
        <v>70.069299999999998</v>
      </c>
      <c r="P8" s="10">
        <f>(C24*O8)/B28</f>
        <v>63.643412054021731</v>
      </c>
      <c r="Q8" s="10">
        <f>(((A24*N8)/B27)*P8)/100</f>
        <v>63.17515482543773</v>
      </c>
      <c r="R8" s="10">
        <f>(((M8*B24)/B27)*P8)/100</f>
        <v>65.491379313870112</v>
      </c>
      <c r="S8" s="10">
        <f>(Q8-R8)+2.3</f>
        <v>-1.6224488432382778E-2</v>
      </c>
      <c r="T8" s="10">
        <f>F8-G8</f>
        <v>-12</v>
      </c>
      <c r="U8" s="10">
        <f>S8-1.036*B29</f>
        <v>-10.263650676638875</v>
      </c>
      <c r="V8" s="10">
        <f>S8+1.036*B29</f>
        <v>10.231201699774111</v>
      </c>
    </row>
    <row r="9" spans="1:22" ht="14">
      <c r="A9" s="17">
        <v>21</v>
      </c>
      <c r="B9" s="11">
        <v>21</v>
      </c>
      <c r="C9" s="12">
        <v>46050</v>
      </c>
      <c r="D9" s="11" t="s">
        <v>43</v>
      </c>
      <c r="E9" s="11" t="s">
        <v>46</v>
      </c>
      <c r="F9" s="11">
        <v>70</v>
      </c>
      <c r="G9" s="11">
        <v>79</v>
      </c>
      <c r="H9" s="11">
        <v>62</v>
      </c>
      <c r="I9" s="11">
        <v>10</v>
      </c>
      <c r="J9" s="11">
        <v>10</v>
      </c>
      <c r="K9" s="18">
        <v>13</v>
      </c>
      <c r="M9" s="27">
        <v>119.4</v>
      </c>
      <c r="N9" s="27">
        <v>104.2</v>
      </c>
      <c r="O9" s="27">
        <v>68.519300000000001</v>
      </c>
      <c r="P9" s="10">
        <f>(C24*O9)/B28</f>
        <v>62.235558847499988</v>
      </c>
      <c r="Q9" s="10">
        <f>(((M9*B24)/B27)*P9)/100</f>
        <v>66.608816096669912</v>
      </c>
      <c r="R9" s="10">
        <f>(((A24*N9)/B27)*P9)/100</f>
        <v>62.497399644309155</v>
      </c>
      <c r="S9" s="10">
        <f>(Q9-R9)+3.5</f>
        <v>7.611416452360757</v>
      </c>
      <c r="T9" s="10">
        <f>G9-F9</f>
        <v>9</v>
      </c>
      <c r="U9" s="10">
        <f>S9-1.036*B29</f>
        <v>-2.6360097358457359</v>
      </c>
      <c r="V9" s="10">
        <f>S9+1.036*B29</f>
        <v>17.85884264056725</v>
      </c>
    </row>
    <row r="10" spans="1:22" ht="14">
      <c r="A10" s="17">
        <v>22</v>
      </c>
      <c r="B10" s="11">
        <v>22</v>
      </c>
      <c r="C10" s="12">
        <v>46053</v>
      </c>
      <c r="D10" s="11" t="s">
        <v>43</v>
      </c>
      <c r="E10" s="11" t="s">
        <v>15</v>
      </c>
      <c r="F10" s="11">
        <v>80</v>
      </c>
      <c r="G10" s="11">
        <v>88</v>
      </c>
      <c r="H10" s="11">
        <v>67</v>
      </c>
      <c r="I10" s="11">
        <v>9</v>
      </c>
      <c r="J10" s="11">
        <v>12</v>
      </c>
      <c r="K10" s="18">
        <v>11</v>
      </c>
      <c r="M10" s="27">
        <v>116.5</v>
      </c>
      <c r="N10" s="27">
        <v>104.7</v>
      </c>
      <c r="O10" s="27">
        <v>71.247624999999999</v>
      </c>
      <c r="P10" s="10">
        <f>(C24*O10)/B28</f>
        <v>64.713675686005431</v>
      </c>
      <c r="Q10" s="10">
        <f>(((M10*B24)/B27)*P10)/100</f>
        <v>67.578848529201892</v>
      </c>
      <c r="R10" s="10">
        <f>(((A24*N10)/B27)*P10)/100</f>
        <v>65.297775287274973</v>
      </c>
      <c r="S10" s="10">
        <f>(Q10-R10)+2.6</f>
        <v>4.8810732419269183</v>
      </c>
      <c r="T10" s="10">
        <f>G10-F10</f>
        <v>8</v>
      </c>
      <c r="U10" s="10">
        <f>S10-1.036*B29</f>
        <v>-5.3663529462795747</v>
      </c>
      <c r="V10" s="10">
        <f>S10+1.036*B29</f>
        <v>15.128499430133411</v>
      </c>
    </row>
    <row r="11" spans="1:22" ht="16">
      <c r="A11" s="17">
        <v>23</v>
      </c>
      <c r="B11" s="11">
        <v>23</v>
      </c>
      <c r="C11" s="12">
        <v>46057</v>
      </c>
      <c r="D11" s="13"/>
      <c r="E11" s="11" t="s">
        <v>19</v>
      </c>
      <c r="F11" s="11">
        <v>64</v>
      </c>
      <c r="G11" s="11">
        <v>66</v>
      </c>
      <c r="H11" s="11">
        <v>60</v>
      </c>
      <c r="I11" s="11">
        <v>9</v>
      </c>
      <c r="J11" s="11">
        <v>9</v>
      </c>
      <c r="K11" s="18">
        <v>6</v>
      </c>
      <c r="M11" s="26">
        <v>115.4</v>
      </c>
      <c r="N11" s="26">
        <v>91.8</v>
      </c>
      <c r="O11" s="26">
        <v>65.54495</v>
      </c>
      <c r="P11" s="10">
        <f>(C24*O11)/B28</f>
        <v>59.533979373423911</v>
      </c>
      <c r="Q11" s="10">
        <f>(((A24*N11)/B27)*P11)/100</f>
        <v>52.669989171261065</v>
      </c>
      <c r="R11" s="10">
        <f>(((M11*B24)/B27)*P11)/100</f>
        <v>61.582811969269933</v>
      </c>
      <c r="S11" s="10">
        <f>(Q11-R11)+2.3</f>
        <v>-6.6128227980088683</v>
      </c>
      <c r="T11" s="25">
        <f>F11-G11</f>
        <v>-2</v>
      </c>
      <c r="U11" s="10">
        <f>S11-1.036*B29</f>
        <v>-16.86024898621536</v>
      </c>
      <c r="V11" s="10">
        <f>S11+1.036*B29</f>
        <v>3.6346033901976247</v>
      </c>
    </row>
    <row r="12" spans="1:22" ht="16">
      <c r="A12" s="17">
        <v>24</v>
      </c>
      <c r="B12" s="11">
        <v>24</v>
      </c>
      <c r="C12" s="12">
        <v>46060</v>
      </c>
      <c r="D12" s="13"/>
      <c r="E12" s="11" t="s">
        <v>21</v>
      </c>
      <c r="F12" s="11">
        <v>95</v>
      </c>
      <c r="G12" s="11">
        <v>72</v>
      </c>
      <c r="H12" s="11">
        <v>61</v>
      </c>
      <c r="I12" s="11">
        <v>19</v>
      </c>
      <c r="J12" s="11">
        <v>8</v>
      </c>
      <c r="K12" s="18">
        <v>12</v>
      </c>
      <c r="M12" s="26">
        <v>109.3</v>
      </c>
      <c r="N12" s="26">
        <v>104.7</v>
      </c>
      <c r="O12" s="26">
        <v>72.415624999999991</v>
      </c>
      <c r="P12" s="10">
        <f>(C24*O12)/B28</f>
        <v>65.774561199048904</v>
      </c>
      <c r="Q12" s="10">
        <f>(((A24*N12)/B27)*P12)/100</f>
        <v>66.368236254016495</v>
      </c>
      <c r="R12" s="10">
        <f>(((M12*B24)/B27)*P12)/100</f>
        <v>64.441689132471296</v>
      </c>
      <c r="S12" s="35">
        <f>(Q12-R12)+2.3</f>
        <v>4.226547121545198</v>
      </c>
      <c r="T12" s="25" t="s">
        <v>81</v>
      </c>
      <c r="U12" s="35">
        <f>S12-1.036*B29</f>
        <v>-6.020879066661295</v>
      </c>
      <c r="V12" s="35">
        <f>S12+1.036*B29</f>
        <v>14.473973309751692</v>
      </c>
    </row>
    <row r="13" spans="1:22" ht="14">
      <c r="A13" s="17">
        <v>25</v>
      </c>
      <c r="B13" s="11">
        <v>25</v>
      </c>
      <c r="C13" s="12">
        <v>46064</v>
      </c>
      <c r="D13" s="11" t="s">
        <v>43</v>
      </c>
      <c r="E13" s="11" t="s">
        <v>12</v>
      </c>
      <c r="F13" s="11">
        <v>70</v>
      </c>
      <c r="G13" s="11">
        <v>64</v>
      </c>
      <c r="H13" s="11">
        <v>57</v>
      </c>
      <c r="I13" s="11">
        <v>11</v>
      </c>
      <c r="J13" s="11">
        <v>4</v>
      </c>
      <c r="K13" s="18">
        <v>11</v>
      </c>
      <c r="M13" s="26">
        <v>103.6</v>
      </c>
      <c r="N13" s="26">
        <v>97.3</v>
      </c>
      <c r="O13" s="26">
        <v>68.913325</v>
      </c>
      <c r="P13" s="10">
        <f>(C24*O13)/B28</f>
        <v>62.59344875698369</v>
      </c>
      <c r="Q13" s="10">
        <f>(((M13*B24)/B27)*P13)/100</f>
        <v>58.126935926511251</v>
      </c>
      <c r="R13" s="10">
        <f>(((A24*N13)/B27)*P13)/100</f>
        <v>58.694493104359552</v>
      </c>
      <c r="S13" s="35">
        <f>(Q13-R13)+2.5</f>
        <v>1.9324428221516996</v>
      </c>
      <c r="T13" s="25" t="s">
        <v>81</v>
      </c>
      <c r="U13" s="35">
        <f>S13-1.036*B29</f>
        <v>-8.3149833660547934</v>
      </c>
      <c r="V13" s="35">
        <f>S13+1.036*B29</f>
        <v>12.179869010358193</v>
      </c>
    </row>
    <row r="14" spans="1:22" ht="14">
      <c r="A14" s="17">
        <v>26</v>
      </c>
      <c r="B14" s="11">
        <v>26</v>
      </c>
      <c r="C14" s="12">
        <v>46067</v>
      </c>
      <c r="D14" s="11" t="s">
        <v>43</v>
      </c>
      <c r="E14" s="11" t="s">
        <v>8</v>
      </c>
      <c r="F14" s="11">
        <v>63</v>
      </c>
      <c r="G14" s="11">
        <v>68</v>
      </c>
      <c r="H14" s="11">
        <v>52</v>
      </c>
      <c r="I14" s="11">
        <v>14</v>
      </c>
      <c r="J14" s="11">
        <v>7</v>
      </c>
      <c r="K14" s="18">
        <v>10</v>
      </c>
      <c r="M14" s="26">
        <v>114.7</v>
      </c>
      <c r="N14" s="26">
        <v>105.6</v>
      </c>
      <c r="O14" s="26">
        <v>70.806899999999999</v>
      </c>
      <c r="P14" s="10">
        <f>(C24*O14)/B28</f>
        <v>64.313368521847821</v>
      </c>
      <c r="Q14" s="10">
        <f>(((M14*B24)/B27)*P14)/100</f>
        <v>66.123140047454854</v>
      </c>
      <c r="R14" s="10">
        <f>(((A24*N14)/B27)*P14)/100</f>
        <v>65.451681821695658</v>
      </c>
      <c r="S14" s="35">
        <f>(Q14-R14)+2.3</f>
        <v>2.9714582257591955</v>
      </c>
      <c r="T14" s="25" t="s">
        <v>81</v>
      </c>
      <c r="U14" s="35">
        <f>S14-1.036*B29</f>
        <v>-7.2759679624472975</v>
      </c>
      <c r="V14" s="35">
        <f>S14+1.036*B29</f>
        <v>13.218884413965689</v>
      </c>
    </row>
    <row r="15" spans="1:22" ht="14">
      <c r="A15" s="17">
        <v>27</v>
      </c>
      <c r="B15" s="11">
        <v>27</v>
      </c>
      <c r="C15" s="12">
        <v>46074</v>
      </c>
      <c r="D15" s="11" t="s">
        <v>43</v>
      </c>
      <c r="E15" s="11" t="s">
        <v>20</v>
      </c>
      <c r="F15" s="11">
        <v>66</v>
      </c>
      <c r="G15" s="11">
        <v>72</v>
      </c>
      <c r="H15" s="11">
        <v>60</v>
      </c>
      <c r="I15" s="11">
        <v>29</v>
      </c>
      <c r="J15" s="11">
        <v>9</v>
      </c>
      <c r="K15" s="18">
        <v>10</v>
      </c>
      <c r="M15" s="26">
        <v>114.8</v>
      </c>
      <c r="N15" s="26">
        <v>103</v>
      </c>
      <c r="O15" s="26">
        <v>70.069299999999998</v>
      </c>
      <c r="P15" s="10">
        <f>(C24*O15)/B28</f>
        <v>63.643412054021731</v>
      </c>
      <c r="Q15" s="10">
        <f>(((M15*B24)/B27)*P15)/100</f>
        <v>65.491379313870112</v>
      </c>
      <c r="R15" s="10">
        <f>(((A24*N15)/B27)*P15)/100</f>
        <v>63.17515482543773</v>
      </c>
      <c r="S15" s="35">
        <f>(Q15-R15)+2.8</f>
        <v>5.1162244884323824</v>
      </c>
      <c r="T15" s="25" t="s">
        <v>81</v>
      </c>
      <c r="U15" s="35">
        <f>S15-1.036*B29</f>
        <v>-5.1312016997741106</v>
      </c>
      <c r="V15" s="35">
        <f>S15+1.036*B29</f>
        <v>15.363650676638876</v>
      </c>
    </row>
    <row r="16" spans="1:22" ht="16">
      <c r="A16" s="17">
        <v>28</v>
      </c>
      <c r="B16" s="13"/>
      <c r="C16" s="12">
        <v>46078</v>
      </c>
      <c r="D16" s="13"/>
      <c r="E16" s="11" t="s">
        <v>48</v>
      </c>
      <c r="F16" s="13"/>
      <c r="G16" s="13"/>
      <c r="H16" s="13"/>
      <c r="I16" s="13"/>
      <c r="J16" s="13"/>
      <c r="K16" s="19"/>
      <c r="M16" s="26">
        <v>107</v>
      </c>
      <c r="N16" s="26">
        <v>106.9</v>
      </c>
      <c r="O16" s="26">
        <v>67.884900000000002</v>
      </c>
      <c r="P16" s="10">
        <f>(C25*O16)/B28</f>
        <v>70.02888223304349</v>
      </c>
      <c r="Q16" s="10">
        <f>(((A25*N16)/B27)*P16)/100</f>
        <v>73.30935437951473</v>
      </c>
      <c r="R16" s="10">
        <f>(((M16*B25)/B27)*P16)/100</f>
        <v>67.877822353052693</v>
      </c>
      <c r="S16" s="41">
        <f>(Q16-R16)+2.3</f>
        <v>7.7315320264620366</v>
      </c>
      <c r="T16" s="25" t="s">
        <v>81</v>
      </c>
      <c r="U16" s="41">
        <f>S16-1.036*B29</f>
        <v>-2.5158941617444563</v>
      </c>
      <c r="V16" s="41">
        <f>S16+1.036*B29</f>
        <v>17.978958214668531</v>
      </c>
    </row>
    <row r="17" spans="1:22" ht="16">
      <c r="A17" s="17">
        <v>29</v>
      </c>
      <c r="B17" s="13"/>
      <c r="C17" s="12">
        <v>46081</v>
      </c>
      <c r="D17" s="13"/>
      <c r="E17" s="11" t="s">
        <v>13</v>
      </c>
      <c r="F17" s="13"/>
      <c r="G17" s="13"/>
      <c r="H17" s="13"/>
      <c r="I17" s="13"/>
      <c r="J17" s="13"/>
      <c r="K17" s="19"/>
      <c r="M17" s="26">
        <v>129.19999999999999</v>
      </c>
      <c r="N17" s="26">
        <v>106.2</v>
      </c>
      <c r="O17" s="26">
        <v>68.590074999999999</v>
      </c>
      <c r="P17" s="10">
        <f>(C25*O17)/B28</f>
        <v>70.756328499130447</v>
      </c>
      <c r="Q17" s="10">
        <f>(((A25*N17)/B27)*P17)/100</f>
        <v>73.585848412893625</v>
      </c>
      <c r="R17" s="10">
        <f>(((M17*B25)/B27)*P17)/100</f>
        <v>82.812278122193007</v>
      </c>
      <c r="S17" s="41">
        <f>(Q17-R17)+2.3</f>
        <v>-6.9264297092993816</v>
      </c>
      <c r="T17" s="25" t="s">
        <v>81</v>
      </c>
      <c r="U17" s="41">
        <f>S17-1.036*B29</f>
        <v>-17.173855897505874</v>
      </c>
      <c r="V17" s="41">
        <f>S17+1.036*B29</f>
        <v>3.3209964789071114</v>
      </c>
    </row>
    <row r="18" spans="1:22" ht="16">
      <c r="A18" s="17">
        <v>30</v>
      </c>
      <c r="B18" s="13"/>
      <c r="C18" s="12">
        <v>46085</v>
      </c>
      <c r="D18" s="11" t="s">
        <v>43</v>
      </c>
      <c r="E18" s="11" t="s">
        <v>16</v>
      </c>
      <c r="F18" s="13"/>
      <c r="G18" s="13"/>
      <c r="H18" s="13"/>
      <c r="I18" s="13"/>
      <c r="J18" s="13"/>
      <c r="K18" s="19"/>
      <c r="M18" s="26">
        <v>117.4</v>
      </c>
      <c r="N18" s="26">
        <v>111</v>
      </c>
      <c r="O18" s="26">
        <v>71.822000000000003</v>
      </c>
      <c r="P18" s="10">
        <f>(C25*O18)/B28</f>
        <v>74.090326121739139</v>
      </c>
      <c r="Q18" s="10">
        <f>(((M18*B25)/B27)*P18)/100</f>
        <v>78.794613961486135</v>
      </c>
      <c r="R18" s="10">
        <f>(((A25*N18)/B27)*P18)/100</f>
        <v>80.535800606630346</v>
      </c>
      <c r="S18" s="41">
        <f>(Q18-R18)+2.4</f>
        <v>0.65881335485578907</v>
      </c>
      <c r="T18" s="25" t="s">
        <v>81</v>
      </c>
      <c r="U18" s="41">
        <f>S18-1.036*B29</f>
        <v>-9.5886128333507035</v>
      </c>
      <c r="V18" s="41">
        <f>S18+1.036*B29</f>
        <v>10.906239543062282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10</v>
      </c>
      <c r="F19" s="21"/>
      <c r="G19" s="21"/>
      <c r="H19" s="21"/>
      <c r="I19" s="21"/>
      <c r="J19" s="21"/>
      <c r="K19" s="24"/>
      <c r="M19" s="26">
        <v>123.9</v>
      </c>
      <c r="N19" s="26">
        <v>102.4</v>
      </c>
      <c r="O19" s="26">
        <v>71.502499999999998</v>
      </c>
      <c r="P19" s="10">
        <f>(C25*O19)/B28</f>
        <v>73.76073547826087</v>
      </c>
      <c r="Q19" s="10">
        <f>(((M19*B25)/B27)*P19)/100</f>
        <v>82.787253254910127</v>
      </c>
      <c r="R19" s="10">
        <f>(((A25*N19)/B27)*P19)/100</f>
        <v>73.965583945703102</v>
      </c>
      <c r="S19" s="41">
        <f>(Q19-R19)+3.8</f>
        <v>12.621669309207025</v>
      </c>
      <c r="T19" s="25" t="s">
        <v>81</v>
      </c>
      <c r="U19" s="41">
        <f>S19-1.036*B29</f>
        <v>2.3742431210005321</v>
      </c>
      <c r="V19" s="41">
        <f>S19+1.036*B29</f>
        <v>22.869095497413518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57.125999999999998</v>
      </c>
      <c r="I21" s="34">
        <v>15.173</v>
      </c>
      <c r="J21" s="34">
        <v>9.4659999999999993</v>
      </c>
      <c r="K21" s="34">
        <v>7.8049999999999997</v>
      </c>
      <c r="M21" s="32" t="s">
        <v>82</v>
      </c>
    </row>
    <row r="22" spans="1:22">
      <c r="F22" s="26"/>
      <c r="G22" s="26"/>
      <c r="H22" s="34">
        <v>58.676000000000002</v>
      </c>
      <c r="I22" s="34">
        <v>17.632000000000001</v>
      </c>
      <c r="J22" s="34">
        <v>7.1559999999999997</v>
      </c>
      <c r="K22" s="34">
        <v>11.284000000000001</v>
      </c>
      <c r="M22" s="30">
        <f>(T2-S2)^2</f>
        <v>90.791577613905858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1" si="0">(T3-S3)^2</f>
        <v>120.25845253980106</v>
      </c>
    </row>
    <row r="24" spans="1:22">
      <c r="A24" s="7">
        <v>111.6</v>
      </c>
      <c r="B24">
        <v>103.8</v>
      </c>
      <c r="C24">
        <f>H21-J21+K21+(0.475*I21)</f>
        <v>62.672174999999996</v>
      </c>
      <c r="F24" s="26"/>
      <c r="G24" s="26"/>
      <c r="H24" s="26"/>
      <c r="I24" s="26"/>
      <c r="J24" s="26"/>
      <c r="K24" s="26"/>
      <c r="M24" s="30">
        <f t="shared" si="0"/>
        <v>64.18332644535289</v>
      </c>
    </row>
    <row r="25" spans="1:22">
      <c r="A25" s="7">
        <v>113.4</v>
      </c>
      <c r="B25">
        <v>104.9</v>
      </c>
      <c r="C25">
        <f>H22-J22+K22+(0.475*I22)</f>
        <v>71.179200000000009</v>
      </c>
      <c r="F25" s="26"/>
      <c r="G25" s="26"/>
      <c r="H25" s="26"/>
      <c r="I25" s="26"/>
      <c r="J25" s="26"/>
      <c r="K25" s="26"/>
      <c r="M25" s="30">
        <f t="shared" si="0"/>
        <v>0.14666566959422953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115.48410337708582</v>
      </c>
    </row>
    <row r="27" spans="1:22">
      <c r="A27" s="7" t="s">
        <v>78</v>
      </c>
      <c r="B27" s="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309.51798967415289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143.61087551164772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1.9281642687743858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9.7277041222242637</v>
      </c>
    </row>
    <row r="31" spans="1:22">
      <c r="F31" s="26"/>
      <c r="G31" s="26"/>
      <c r="H31" s="26"/>
      <c r="I31" s="26"/>
      <c r="J31" s="26"/>
      <c r="K31" s="26"/>
      <c r="M31" s="31">
        <f t="shared" si="0"/>
        <v>21.278134165830366</v>
      </c>
    </row>
    <row r="32" spans="1:22">
      <c r="L32" s="33" t="s">
        <v>83</v>
      </c>
      <c r="M32" s="29">
        <f>SUM(M22:M31)</f>
        <v>876.92699338836951</v>
      </c>
    </row>
  </sheetData>
  <mergeCells count="1">
    <mergeCell ref="A21:B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B900-2AA8-8249-9D39-227454E06A1D}">
  <dimension ref="A1:V35"/>
  <sheetViews>
    <sheetView zoomScale="110" workbookViewId="0">
      <pane xSplit="5" topLeftCell="R1" activePane="topRight" state="frozen"/>
      <selection pane="topRight" activeCell="O26" sqref="O26"/>
    </sheetView>
  </sheetViews>
  <sheetFormatPr baseColWidth="10" defaultRowHeight="13"/>
  <cols>
    <col min="13" max="13" width="11.6640625" bestFit="1" customWidth="1"/>
    <col min="19" max="19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46022</v>
      </c>
      <c r="D2" s="13"/>
      <c r="E2" s="11" t="s">
        <v>19</v>
      </c>
      <c r="F2" s="11">
        <v>61</v>
      </c>
      <c r="G2" s="11">
        <v>64</v>
      </c>
      <c r="H2" s="11">
        <v>45</v>
      </c>
      <c r="I2" s="11">
        <v>24</v>
      </c>
      <c r="J2" s="11">
        <v>3</v>
      </c>
      <c r="K2" s="18">
        <v>14</v>
      </c>
      <c r="M2" s="10">
        <v>115.4</v>
      </c>
      <c r="N2" s="26">
        <v>91.8</v>
      </c>
      <c r="O2" s="10">
        <v>65.54495</v>
      </c>
      <c r="P2" s="10">
        <f>(C24*O2)/B28</f>
        <v>66.292304919021731</v>
      </c>
      <c r="Q2" s="10">
        <f>(((A24*N2)/B27)*P2)/100</f>
        <v>61.592077455229536</v>
      </c>
      <c r="R2" s="10">
        <f>(((M2*B24)/B27)*P2)/100</f>
        <v>69.036165173571575</v>
      </c>
      <c r="S2" s="10">
        <f>(Q2-R2)+3.1</f>
        <v>-4.3440877183420401</v>
      </c>
      <c r="T2" s="10">
        <f>F2-G2</f>
        <v>-3</v>
      </c>
      <c r="U2" s="10">
        <f>S2-1.036*B29</f>
        <v>-14.591513906548533</v>
      </c>
      <c r="V2" s="10">
        <f>S2+1.036*B29</f>
        <v>5.9033384698644529</v>
      </c>
    </row>
    <row r="3" spans="1:22" ht="14">
      <c r="A3" s="17">
        <v>15</v>
      </c>
      <c r="B3" s="11">
        <v>15</v>
      </c>
      <c r="C3" s="12">
        <v>46028</v>
      </c>
      <c r="D3" s="11" t="s">
        <v>43</v>
      </c>
      <c r="E3" s="11" t="s">
        <v>21</v>
      </c>
      <c r="F3" s="11">
        <v>82</v>
      </c>
      <c r="G3" s="11">
        <v>72</v>
      </c>
      <c r="H3" s="11">
        <v>61</v>
      </c>
      <c r="I3" s="11">
        <v>31</v>
      </c>
      <c r="J3" s="11">
        <v>11</v>
      </c>
      <c r="K3" s="18">
        <v>15</v>
      </c>
      <c r="M3" s="10">
        <v>109.3</v>
      </c>
      <c r="N3" s="10">
        <v>104.7</v>
      </c>
      <c r="O3" s="10">
        <v>72.415624999999991</v>
      </c>
      <c r="P3" s="10">
        <f>(C24*O3)/B28</f>
        <v>73.241320550271737</v>
      </c>
      <c r="Q3" s="10">
        <f>(((M3*B24)/B27)*P3)/100</f>
        <v>72.241051565381809</v>
      </c>
      <c r="R3" s="10">
        <f>(((A24*N3)/B27)*P3)/100</f>
        <v>77.610753528592099</v>
      </c>
      <c r="S3" s="10">
        <f>(Q3-R3)+2.4</f>
        <v>-2.9697019632102895</v>
      </c>
      <c r="T3" s="10">
        <f>G3-F3</f>
        <v>-10</v>
      </c>
      <c r="U3" s="10">
        <f>S3-1.036*B29</f>
        <v>-13.217128151416782</v>
      </c>
      <c r="V3" s="10">
        <f>S3+1.036*B29</f>
        <v>7.277724224996204</v>
      </c>
    </row>
    <row r="4" spans="1:22" ht="14">
      <c r="A4" s="17">
        <v>16</v>
      </c>
      <c r="B4" s="11">
        <v>16</v>
      </c>
      <c r="C4" s="12">
        <v>46032</v>
      </c>
      <c r="D4" s="11" t="s">
        <v>43</v>
      </c>
      <c r="E4" s="11" t="s">
        <v>48</v>
      </c>
      <c r="F4" s="11">
        <v>83</v>
      </c>
      <c r="G4" s="11">
        <v>72</v>
      </c>
      <c r="H4" s="11">
        <v>52</v>
      </c>
      <c r="I4" s="11">
        <v>18</v>
      </c>
      <c r="J4" s="11">
        <v>5</v>
      </c>
      <c r="K4" s="18">
        <v>10</v>
      </c>
      <c r="M4" s="10">
        <v>111.6</v>
      </c>
      <c r="N4" s="10">
        <v>107.1</v>
      </c>
      <c r="O4" s="10">
        <v>66.7727</v>
      </c>
      <c r="P4" s="10">
        <f>(C24*O4)/B28</f>
        <v>67.534053938043471</v>
      </c>
      <c r="Q4" s="10">
        <f>(((M4*B24)/B27)*P4)/100</f>
        <v>68.013440745790206</v>
      </c>
      <c r="R4" s="10">
        <f>(((A24*N4)/B27)*P4)/100</f>
        <v>73.203415295059955</v>
      </c>
      <c r="S4" s="10">
        <f>(Q4-R4)+2.7</f>
        <v>-2.4899745492697489</v>
      </c>
      <c r="T4" s="10">
        <f>G4-F4</f>
        <v>-11</v>
      </c>
      <c r="U4" s="10">
        <f>S4-1.036*B29</f>
        <v>-12.737400737476243</v>
      </c>
      <c r="V4" s="10">
        <f>S4+1.036*B29</f>
        <v>7.7574516389367441</v>
      </c>
    </row>
    <row r="5" spans="1:22" ht="16">
      <c r="A5" s="17">
        <v>17</v>
      </c>
      <c r="B5" s="11">
        <v>17</v>
      </c>
      <c r="C5" s="12">
        <v>46035</v>
      </c>
      <c r="D5" s="13"/>
      <c r="E5" s="11" t="s">
        <v>15</v>
      </c>
      <c r="F5" s="11">
        <v>94</v>
      </c>
      <c r="G5" s="11">
        <v>86</v>
      </c>
      <c r="H5" s="11">
        <v>62</v>
      </c>
      <c r="I5" s="11">
        <v>15</v>
      </c>
      <c r="J5" s="11">
        <v>10</v>
      </c>
      <c r="K5" s="18">
        <v>13</v>
      </c>
      <c r="M5" s="10">
        <v>116.5</v>
      </c>
      <c r="N5" s="10">
        <v>104.7</v>
      </c>
      <c r="O5" s="10">
        <v>71.247624999999999</v>
      </c>
      <c r="P5" s="10">
        <f>(C24*O5)/B28</f>
        <v>72.060002811141288</v>
      </c>
      <c r="Q5" s="10">
        <f>(((A24*N5)/B27)*P5)/100</f>
        <v>76.3589606990557</v>
      </c>
      <c r="R5" s="10">
        <f>(((M5*B24)/B27)*P5)/100</f>
        <v>75.7579006237942</v>
      </c>
      <c r="S5" s="10">
        <f>(Q5-R5)+3.1</f>
        <v>3.7010600752615006</v>
      </c>
      <c r="T5" s="10">
        <f>F5-G5</f>
        <v>8</v>
      </c>
      <c r="U5" s="10">
        <f>S5-1.036*B29</f>
        <v>-6.5463661129449928</v>
      </c>
      <c r="V5" s="10">
        <f>S5+1.036*B29</f>
        <v>13.948486263467993</v>
      </c>
    </row>
    <row r="6" spans="1:22" ht="14">
      <c r="A6" s="17">
        <v>18</v>
      </c>
      <c r="B6" s="11">
        <v>18</v>
      </c>
      <c r="C6" s="12">
        <v>46039</v>
      </c>
      <c r="D6" s="11" t="s">
        <v>43</v>
      </c>
      <c r="E6" s="11" t="s">
        <v>12</v>
      </c>
      <c r="F6" s="11">
        <v>73</v>
      </c>
      <c r="G6" s="11">
        <v>81</v>
      </c>
      <c r="H6" s="11">
        <v>59</v>
      </c>
      <c r="I6" s="11">
        <v>22</v>
      </c>
      <c r="J6" s="11">
        <v>6</v>
      </c>
      <c r="K6" s="18">
        <v>17</v>
      </c>
      <c r="M6" s="10">
        <v>103.6</v>
      </c>
      <c r="N6" s="10">
        <v>97.3</v>
      </c>
      <c r="O6" s="10">
        <v>68.913325</v>
      </c>
      <c r="P6" s="10">
        <f>(C24*O6)/B28</f>
        <v>69.699086716576076</v>
      </c>
      <c r="Q6" s="10">
        <f>(((M6*B24)/B27)*P6)/100</f>
        <v>65.162025268652499</v>
      </c>
      <c r="R6" s="10">
        <f>(((A24*N6)/B27)*P6)/100</f>
        <v>68.637108576656161</v>
      </c>
      <c r="S6" s="10">
        <f>(Q6-R6)+2.5</f>
        <v>-0.97508330800366139</v>
      </c>
      <c r="T6" s="10">
        <f>G6-F6</f>
        <v>8</v>
      </c>
      <c r="U6" s="10">
        <f>S6-1.036*B29</f>
        <v>-11.222509496210154</v>
      </c>
      <c r="V6" s="10">
        <f>S6+1.036*B29</f>
        <v>9.2723428802028316</v>
      </c>
    </row>
    <row r="7" spans="1:22" ht="16">
      <c r="A7" s="17">
        <v>19</v>
      </c>
      <c r="B7" s="11">
        <v>19</v>
      </c>
      <c r="C7" s="12">
        <v>46043</v>
      </c>
      <c r="D7" s="13"/>
      <c r="E7" s="11" t="s">
        <v>9</v>
      </c>
      <c r="F7" s="11">
        <v>74</v>
      </c>
      <c r="G7" s="11">
        <v>76</v>
      </c>
      <c r="H7" s="11">
        <v>61</v>
      </c>
      <c r="I7" s="11">
        <v>14</v>
      </c>
      <c r="J7" s="11">
        <v>7</v>
      </c>
      <c r="K7" s="18">
        <v>14</v>
      </c>
      <c r="M7" s="27">
        <v>115.3</v>
      </c>
      <c r="N7" s="27">
        <v>100.9</v>
      </c>
      <c r="O7" s="27">
        <v>68.663174999999995</v>
      </c>
      <c r="P7" s="10">
        <f>(C24*O7)/B28</f>
        <v>69.446084462771722</v>
      </c>
      <c r="Q7" s="10">
        <f>(((A24*N7)/B27)*P7)/100</f>
        <v>70.918245500243344</v>
      </c>
      <c r="R7" s="10">
        <f>(((M7*B24)/B27)*P7)/100</f>
        <v>72.257811293546368</v>
      </c>
      <c r="S7" s="10">
        <f>(Q7-R7)+3.1</f>
        <v>1.7604342066969765</v>
      </c>
      <c r="T7" s="10">
        <f>F7-G7</f>
        <v>-2</v>
      </c>
      <c r="U7" s="10">
        <f>S7-1.036*B29</f>
        <v>-8.4869919815095169</v>
      </c>
      <c r="V7" s="10">
        <f>S7+1.036*B29</f>
        <v>12.007860394903469</v>
      </c>
    </row>
    <row r="8" spans="1:22" ht="16">
      <c r="A8" s="17">
        <v>20</v>
      </c>
      <c r="B8" s="11">
        <v>20</v>
      </c>
      <c r="C8" s="12">
        <v>46046</v>
      </c>
      <c r="D8" s="13"/>
      <c r="E8" s="11" t="s">
        <v>46</v>
      </c>
      <c r="F8" s="11">
        <v>76</v>
      </c>
      <c r="G8" s="11">
        <v>85</v>
      </c>
      <c r="H8" s="11">
        <v>61</v>
      </c>
      <c r="I8" s="11">
        <v>15</v>
      </c>
      <c r="J8" s="11">
        <v>4</v>
      </c>
      <c r="K8" s="18">
        <v>6</v>
      </c>
      <c r="M8" s="27">
        <v>119.4</v>
      </c>
      <c r="N8" s="27">
        <v>104.2</v>
      </c>
      <c r="O8" s="27">
        <v>68.519300000000001</v>
      </c>
      <c r="P8" s="10">
        <f>(C24*O8)/B28</f>
        <v>69.300568975000004</v>
      </c>
      <c r="Q8" s="10">
        <f>(((A24*N8)/B27)*P8)/100</f>
        <v>73.084212474892396</v>
      </c>
      <c r="R8" s="10">
        <f>(((M8*B24)/B27)*P8)/100</f>
        <v>74.670465394798597</v>
      </c>
      <c r="S8" s="10">
        <f>(Q8-R8)+3.1</f>
        <v>1.5137470800937991</v>
      </c>
      <c r="T8" s="10">
        <f>F8-G8</f>
        <v>-9</v>
      </c>
      <c r="U8" s="10">
        <f>S8-1.036*B29</f>
        <v>-8.7336791081126943</v>
      </c>
      <c r="V8" s="10">
        <f>S8+1.036*B29</f>
        <v>11.761173268300292</v>
      </c>
    </row>
    <row r="9" spans="1:22" ht="14">
      <c r="A9" s="17">
        <v>21</v>
      </c>
      <c r="B9" s="11">
        <v>21</v>
      </c>
      <c r="C9" s="12">
        <v>46049</v>
      </c>
      <c r="D9" s="11" t="s">
        <v>43</v>
      </c>
      <c r="E9" s="11" t="s">
        <v>10</v>
      </c>
      <c r="F9" s="11">
        <v>68</v>
      </c>
      <c r="G9" s="11">
        <v>88</v>
      </c>
      <c r="H9" s="11">
        <v>67</v>
      </c>
      <c r="I9" s="11">
        <v>16</v>
      </c>
      <c r="J9" s="11">
        <v>15</v>
      </c>
      <c r="K9" s="18">
        <v>10</v>
      </c>
      <c r="M9" s="27">
        <v>125.2</v>
      </c>
      <c r="N9" s="27">
        <v>100.9</v>
      </c>
      <c r="O9" s="27">
        <v>71.373625000000004</v>
      </c>
      <c r="P9" s="10">
        <f>(C24*O9)/B28</f>
        <v>72.187439485054355</v>
      </c>
      <c r="Q9" s="10">
        <f>(((M9*B24)/B27)*P9)/100</f>
        <v>81.559339011982743</v>
      </c>
      <c r="R9" s="10">
        <f>(((A24*N9)/B27)*P9)/100</f>
        <v>73.717713461288497</v>
      </c>
      <c r="S9" s="10">
        <f>(Q9-R9)+3.8</f>
        <v>11.641625550694247</v>
      </c>
      <c r="T9" s="10">
        <f>G9-F9</f>
        <v>20</v>
      </c>
      <c r="U9" s="10">
        <f>S9-1.036*B29</f>
        <v>1.394199362487754</v>
      </c>
      <c r="V9" s="10">
        <f>S9+1.036*B29</f>
        <v>21.88905173890074</v>
      </c>
    </row>
    <row r="10" spans="1:22" ht="16">
      <c r="A10" s="17">
        <v>22</v>
      </c>
      <c r="B10" s="11">
        <v>22</v>
      </c>
      <c r="C10" s="12">
        <v>46053</v>
      </c>
      <c r="D10" s="13"/>
      <c r="E10" s="11" t="s">
        <v>16</v>
      </c>
      <c r="F10" s="11">
        <v>86</v>
      </c>
      <c r="G10" s="11">
        <v>72</v>
      </c>
      <c r="H10" s="11">
        <v>56</v>
      </c>
      <c r="I10" s="11">
        <v>21</v>
      </c>
      <c r="J10" s="11">
        <v>5</v>
      </c>
      <c r="K10" s="18">
        <v>6</v>
      </c>
      <c r="M10" s="27">
        <v>113.1</v>
      </c>
      <c r="N10" s="27">
        <v>105.6</v>
      </c>
      <c r="O10" s="27">
        <v>64.468800000000002</v>
      </c>
      <c r="P10" s="10">
        <f>(C24*O10)/B28</f>
        <v>65.203884469565224</v>
      </c>
      <c r="Q10" s="10">
        <f>(((A24*N10)/B27)*P10)/100</f>
        <v>69.687749519721024</v>
      </c>
      <c r="R10" s="10">
        <f>(((M10*B24)/B27)*P10)/100</f>
        <v>66.549348044176853</v>
      </c>
      <c r="S10" s="10">
        <f>(Q10-R10)+3.1</f>
        <v>6.2384014755441708</v>
      </c>
      <c r="T10" s="10">
        <f>F10-G10</f>
        <v>14</v>
      </c>
      <c r="U10" s="10">
        <f>S10-1.036*B29</f>
        <v>-4.0090247126623222</v>
      </c>
      <c r="V10" s="10">
        <f>S10+1.036*B29</f>
        <v>16.485827663750662</v>
      </c>
    </row>
    <row r="11" spans="1:22" ht="14">
      <c r="A11" s="17">
        <v>23</v>
      </c>
      <c r="B11" s="11">
        <v>23</v>
      </c>
      <c r="C11" s="12">
        <v>46055</v>
      </c>
      <c r="D11" s="11" t="s">
        <v>43</v>
      </c>
      <c r="E11" s="11" t="s">
        <v>18</v>
      </c>
      <c r="F11" s="11">
        <v>77</v>
      </c>
      <c r="G11" s="11">
        <v>87</v>
      </c>
      <c r="H11" s="11">
        <v>65</v>
      </c>
      <c r="I11" s="11">
        <v>19</v>
      </c>
      <c r="J11" s="11">
        <v>10</v>
      </c>
      <c r="K11" s="18">
        <v>9</v>
      </c>
      <c r="M11" s="26">
        <v>128.80000000000001</v>
      </c>
      <c r="N11" s="26">
        <v>107</v>
      </c>
      <c r="O11" s="26">
        <v>71.825850000000003</v>
      </c>
      <c r="P11" s="10">
        <f>(C24*O11)/B28</f>
        <v>72.644820833152181</v>
      </c>
      <c r="Q11" s="10">
        <f>(((M11*B24)/B27)*P11)/100</f>
        <v>84.436116622270731</v>
      </c>
      <c r="R11" s="10">
        <f>(((A24*N11)/B27)*P11)/100</f>
        <v>78.669698719867156</v>
      </c>
      <c r="S11" s="10">
        <f>(Q11-R11)+3.7</f>
        <v>9.4664179024035739</v>
      </c>
      <c r="T11" s="25">
        <f>G11-F11</f>
        <v>10</v>
      </c>
      <c r="U11" s="10">
        <f>S11-1.036*B29</f>
        <v>-0.78100828580291903</v>
      </c>
      <c r="V11" s="10">
        <f>S11+1.036*B29</f>
        <v>19.713844090610067</v>
      </c>
    </row>
    <row r="12" spans="1:22" ht="14">
      <c r="A12" s="17">
        <v>24</v>
      </c>
      <c r="B12" s="11">
        <v>24</v>
      </c>
      <c r="C12" s="12">
        <v>46060</v>
      </c>
      <c r="D12" s="11" t="s">
        <v>43</v>
      </c>
      <c r="E12" s="11" t="s">
        <v>5</v>
      </c>
      <c r="F12" s="11">
        <v>59</v>
      </c>
      <c r="G12" s="11">
        <v>72</v>
      </c>
      <c r="H12" s="11">
        <v>51</v>
      </c>
      <c r="I12" s="11">
        <v>7</v>
      </c>
      <c r="J12" s="11">
        <v>6</v>
      </c>
      <c r="K12" s="18">
        <v>13</v>
      </c>
      <c r="M12" s="26">
        <v>121.8</v>
      </c>
      <c r="N12" s="26">
        <v>94.7</v>
      </c>
      <c r="O12" s="26">
        <v>66.483699999999999</v>
      </c>
      <c r="P12" s="10">
        <f>(C24*O12)/B28</f>
        <v>67.241758709782601</v>
      </c>
      <c r="Q12" s="10">
        <f>(((M12*B24)/B27)*P12)/100</f>
        <v>73.908448103107418</v>
      </c>
      <c r="R12" s="10">
        <f>(((A24*N12)/B27)*P12)/100</f>
        <v>64.447799761527079</v>
      </c>
      <c r="S12" s="35">
        <f>(Q12-R12)+3.8</f>
        <v>13.260648341580339</v>
      </c>
      <c r="T12" s="25" t="s">
        <v>81</v>
      </c>
      <c r="U12" s="35">
        <f>S12-1.036*B29</f>
        <v>3.0132221533738459</v>
      </c>
      <c r="V12" s="35">
        <f>S12+1.036*B29</f>
        <v>23.508074529786832</v>
      </c>
    </row>
    <row r="13" spans="1:22" ht="16">
      <c r="A13" s="17">
        <v>25</v>
      </c>
      <c r="B13" s="11">
        <v>25</v>
      </c>
      <c r="C13" s="12">
        <v>46064</v>
      </c>
      <c r="D13" s="13"/>
      <c r="E13" s="11" t="s">
        <v>20</v>
      </c>
      <c r="F13" s="11">
        <v>107</v>
      </c>
      <c r="G13" s="11">
        <v>100</v>
      </c>
      <c r="H13" s="11">
        <f>0.8*71</f>
        <v>56.800000000000004</v>
      </c>
      <c r="I13" s="11">
        <f>0.8*42</f>
        <v>33.6</v>
      </c>
      <c r="J13" s="11">
        <f>0.8*10</f>
        <v>8</v>
      </c>
      <c r="K13" s="18">
        <f>0.8*12</f>
        <v>9.6000000000000014</v>
      </c>
      <c r="M13" s="26">
        <v>114.8</v>
      </c>
      <c r="N13" s="26">
        <v>103</v>
      </c>
      <c r="O13" s="26">
        <v>70.069299999999998</v>
      </c>
      <c r="P13" s="10">
        <f>(C24*O13)/B28</f>
        <v>70.868242344565203</v>
      </c>
      <c r="Q13" s="10">
        <f>(((A24*N13)/B27)*P13)/100</f>
        <v>73.876776708692006</v>
      </c>
      <c r="R13" s="10">
        <f>(((M13*B24)/B27)*P13)/100</f>
        <v>73.417785501797141</v>
      </c>
      <c r="S13" s="35">
        <f>(Q13-R13)+3.1</f>
        <v>3.558991206894865</v>
      </c>
      <c r="T13" s="25" t="s">
        <v>81</v>
      </c>
      <c r="U13" s="35">
        <f>S13-1.036*B29</f>
        <v>-6.6884349813116284</v>
      </c>
      <c r="V13" s="35">
        <f>S13+1.036*B29</f>
        <v>13.806417395101358</v>
      </c>
    </row>
    <row r="14" spans="1:22" ht="16">
      <c r="A14" s="17">
        <v>26</v>
      </c>
      <c r="B14" s="11">
        <v>26</v>
      </c>
      <c r="C14" s="12">
        <v>46067</v>
      </c>
      <c r="D14" s="13"/>
      <c r="E14" s="11" t="s">
        <v>13</v>
      </c>
      <c r="F14" s="11">
        <v>79</v>
      </c>
      <c r="G14" s="11">
        <v>78</v>
      </c>
      <c r="H14" s="11">
        <v>60</v>
      </c>
      <c r="I14" s="11">
        <v>18</v>
      </c>
      <c r="J14" s="11">
        <v>8</v>
      </c>
      <c r="K14" s="18">
        <v>8</v>
      </c>
      <c r="M14" s="26">
        <v>125.9</v>
      </c>
      <c r="N14" s="26">
        <v>104.5</v>
      </c>
      <c r="O14" s="26">
        <v>70.171149999999997</v>
      </c>
      <c r="P14" s="10">
        <f>(C24*O14)/B28</f>
        <v>70.971253655978259</v>
      </c>
      <c r="Q14" s="10">
        <f>(((A24*N14)/B27)*P14)/100</f>
        <v>75.061600347688085</v>
      </c>
      <c r="R14" s="10">
        <f>(((M14*B24)/B27)*P14)/100</f>
        <v>80.633579213088154</v>
      </c>
      <c r="S14" s="35">
        <f>(Q14-R14)+3.1</f>
        <v>-2.4719788654000694</v>
      </c>
      <c r="T14" s="25" t="s">
        <v>81</v>
      </c>
      <c r="U14" s="35">
        <f>S14-1.036*B29</f>
        <v>-12.719405053606563</v>
      </c>
      <c r="V14" s="35">
        <f>S14+1.036*B29</f>
        <v>7.7754473228064231</v>
      </c>
    </row>
    <row r="15" spans="1:22" ht="14">
      <c r="A15" s="17">
        <v>27</v>
      </c>
      <c r="B15" s="11">
        <v>27</v>
      </c>
      <c r="C15" s="12">
        <v>46069</v>
      </c>
      <c r="D15" s="11" t="s">
        <v>43</v>
      </c>
      <c r="E15" s="11" t="s">
        <v>17</v>
      </c>
      <c r="F15" s="11">
        <v>64</v>
      </c>
      <c r="G15" s="11">
        <v>101</v>
      </c>
      <c r="H15" s="11">
        <v>63</v>
      </c>
      <c r="I15" s="11">
        <v>8</v>
      </c>
      <c r="J15" s="11">
        <v>10</v>
      </c>
      <c r="K15" s="18">
        <v>11</v>
      </c>
      <c r="M15" s="26">
        <v>126.9</v>
      </c>
      <c r="N15" s="26">
        <v>94.6</v>
      </c>
      <c r="O15" s="26">
        <v>71.7059</v>
      </c>
      <c r="P15" s="10">
        <f>(C24*O15)/B28</f>
        <v>72.523503142391291</v>
      </c>
      <c r="Q15" s="10">
        <f>(((M15*B24)/B27)*P15)/100</f>
        <v>83.051623605043872</v>
      </c>
      <c r="R15" s="10">
        <f>(((A24*N15)/B27)*P15)/100</f>
        <v>69.436682397242592</v>
      </c>
      <c r="S15" s="35">
        <f>(Q15-R15)+4.5</f>
        <v>18.11494120780128</v>
      </c>
      <c r="T15" s="25" t="s">
        <v>81</v>
      </c>
      <c r="U15" s="35">
        <f>S15-1.036*B29</f>
        <v>7.8675150195947872</v>
      </c>
      <c r="V15" s="35">
        <f>S15+1.036*B29</f>
        <v>28.362367396007773</v>
      </c>
    </row>
    <row r="16" spans="1:22" ht="16">
      <c r="A16" s="17">
        <v>28</v>
      </c>
      <c r="B16" s="11">
        <v>28</v>
      </c>
      <c r="C16" s="12">
        <v>46074</v>
      </c>
      <c r="D16" s="13"/>
      <c r="E16" s="11" t="s">
        <v>18</v>
      </c>
      <c r="F16" s="11">
        <v>64</v>
      </c>
      <c r="G16" s="11">
        <v>77</v>
      </c>
      <c r="H16" s="11">
        <v>59</v>
      </c>
      <c r="I16" s="11">
        <v>16</v>
      </c>
      <c r="J16" s="11">
        <v>7</v>
      </c>
      <c r="K16" s="18">
        <v>10</v>
      </c>
      <c r="M16" s="26">
        <v>128.80000000000001</v>
      </c>
      <c r="N16" s="26">
        <v>107</v>
      </c>
      <c r="O16" s="26">
        <v>71.825850000000003</v>
      </c>
      <c r="P16" s="10">
        <f>(C24*O16)/B28</f>
        <v>72.644820833152181</v>
      </c>
      <c r="Q16" s="10">
        <f>(((A24*N16)/B27)*P16)/100</f>
        <v>78.669698719867156</v>
      </c>
      <c r="R16" s="10">
        <f>(((M16*B24)/B27)*P16)/100</f>
        <v>84.436116622270731</v>
      </c>
      <c r="S16" s="35">
        <f>(Q16-R16)+3.1</f>
        <v>-2.6664179024035746</v>
      </c>
      <c r="T16" s="25" t="s">
        <v>81</v>
      </c>
      <c r="U16" s="35">
        <f>S16-1.036*B29</f>
        <v>-12.913844090610068</v>
      </c>
      <c r="V16" s="35">
        <f>S16+1.036*B29</f>
        <v>7.581008285802918</v>
      </c>
    </row>
    <row r="17" spans="1:22" ht="16">
      <c r="A17" s="17">
        <v>29</v>
      </c>
      <c r="B17" s="13"/>
      <c r="C17" s="12">
        <v>46081</v>
      </c>
      <c r="D17" s="11" t="s">
        <v>43</v>
      </c>
      <c r="E17" s="11" t="s">
        <v>8</v>
      </c>
      <c r="F17" s="13"/>
      <c r="G17" s="13"/>
      <c r="H17" s="13"/>
      <c r="I17" s="13"/>
      <c r="J17" s="13"/>
      <c r="K17" s="19"/>
      <c r="M17" s="26">
        <v>120.5</v>
      </c>
      <c r="N17" s="26">
        <v>109.4</v>
      </c>
      <c r="O17" s="26">
        <v>68.680674999999994</v>
      </c>
      <c r="P17" s="10">
        <f>(C25*O17)/B28</f>
        <v>65.39972947920289</v>
      </c>
      <c r="Q17" s="10">
        <f>(((M17*B25)/B27)*P17)/100</f>
        <v>73.430398333516592</v>
      </c>
      <c r="R17" s="10">
        <f>(((A25*N17)/B27)*P17)/100</f>
        <v>72.226941653488652</v>
      </c>
      <c r="S17" s="41">
        <f>(Q17-R17)+2.3</f>
        <v>3.5034566800279405</v>
      </c>
      <c r="T17" s="25" t="s">
        <v>81</v>
      </c>
      <c r="U17" s="41">
        <f>S17-1.036*B29</f>
        <v>-6.7439695081785525</v>
      </c>
      <c r="V17" s="41">
        <f>S17+1.036*B29</f>
        <v>13.750882868234434</v>
      </c>
    </row>
    <row r="18" spans="1:22" ht="16">
      <c r="A18" s="17">
        <v>30</v>
      </c>
      <c r="B18" s="13"/>
      <c r="C18" s="12">
        <v>46084</v>
      </c>
      <c r="D18" s="11" t="s">
        <v>43</v>
      </c>
      <c r="E18" s="11" t="s">
        <v>7</v>
      </c>
      <c r="F18" s="13"/>
      <c r="G18" s="13"/>
      <c r="H18" s="13"/>
      <c r="I18" s="13"/>
      <c r="J18" s="13"/>
      <c r="K18" s="19"/>
      <c r="M18" s="26">
        <v>125.9</v>
      </c>
      <c r="N18" s="26">
        <v>96.3</v>
      </c>
      <c r="O18" s="26">
        <v>73.021024999999995</v>
      </c>
      <c r="P18" s="10">
        <f>(C25*O18)/B28</f>
        <v>69.532736556449265</v>
      </c>
      <c r="Q18" s="10">
        <f>(((M18*B25)/B27)*P18)/100</f>
        <v>81.569525764430594</v>
      </c>
      <c r="R18" s="10">
        <f>(((A25*N18)/B27)*P18)/100</f>
        <v>67.596087720391267</v>
      </c>
      <c r="S18" s="41">
        <f>(Q18-R18)+3.5</f>
        <v>17.473438044039327</v>
      </c>
      <c r="T18" s="25" t="s">
        <v>81</v>
      </c>
      <c r="U18" s="41">
        <f>S18-1.036*B29</f>
        <v>7.2260118558328337</v>
      </c>
      <c r="V18" s="41">
        <f>S18+1.036*B29</f>
        <v>27.72086423224582</v>
      </c>
    </row>
    <row r="19" spans="1:22" ht="16">
      <c r="A19" s="20">
        <v>31</v>
      </c>
      <c r="B19" s="21"/>
      <c r="C19" s="22">
        <v>46088</v>
      </c>
      <c r="D19" s="21"/>
      <c r="E19" s="23" t="s">
        <v>48</v>
      </c>
      <c r="F19" s="21"/>
      <c r="G19" s="21"/>
      <c r="H19" s="21"/>
      <c r="I19" s="21"/>
      <c r="J19" s="21"/>
      <c r="K19" s="24"/>
      <c r="M19" s="26">
        <v>107</v>
      </c>
      <c r="N19" s="26">
        <v>106.9</v>
      </c>
      <c r="O19" s="26">
        <v>67.884900000000002</v>
      </c>
      <c r="P19" s="10">
        <f>(C25*O19)/B28</f>
        <v>64.641969458260874</v>
      </c>
      <c r="Q19" s="10">
        <f>(((A25*N19)/B27)*P19)/100</f>
        <v>69.758677197909975</v>
      </c>
      <c r="R19" s="10">
        <f>(((M19*B25)/B27)*P19)/100</f>
        <v>64.448266838208923</v>
      </c>
      <c r="S19" s="41">
        <f>(Q19-R19)+3.1</f>
        <v>8.4104103597010518</v>
      </c>
      <c r="T19" s="25" t="s">
        <v>81</v>
      </c>
      <c r="U19" s="41">
        <f>S19-1.036*B29</f>
        <v>-1.8370158285054412</v>
      </c>
      <c r="V19" s="41">
        <f>S19+1.036*B29</f>
        <v>18.657836547907543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52.365000000000002</v>
      </c>
      <c r="I21" s="34">
        <v>21.45</v>
      </c>
      <c r="J21" s="34">
        <v>5.569</v>
      </c>
      <c r="K21" s="34">
        <v>12.802</v>
      </c>
      <c r="M21" s="32" t="s">
        <v>82</v>
      </c>
    </row>
    <row r="22" spans="1:22">
      <c r="F22" s="26"/>
      <c r="G22" s="26"/>
      <c r="H22" s="34">
        <v>55.064</v>
      </c>
      <c r="I22" s="34">
        <v>13.528</v>
      </c>
      <c r="J22" s="34">
        <v>7.1139999999999999</v>
      </c>
      <c r="K22" s="34">
        <v>11.327999999999999</v>
      </c>
      <c r="M22" s="30">
        <f>(T2-S2)^2</f>
        <v>1.8065717945979114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1" si="0">(T3-S3)^2</f>
        <v>49.425090486089267</v>
      </c>
    </row>
    <row r="24" spans="1:22">
      <c r="A24" s="7">
        <v>117.2</v>
      </c>
      <c r="B24">
        <v>104.5</v>
      </c>
      <c r="C24">
        <f>H21-J21+K21+(0.475*I21)</f>
        <v>69.786749999999998</v>
      </c>
      <c r="F24" s="26"/>
      <c r="G24" s="26"/>
      <c r="H24" s="26"/>
      <c r="I24" s="26"/>
      <c r="J24" s="26"/>
      <c r="K24" s="26"/>
      <c r="M24" s="30">
        <f t="shared" si="0"/>
        <v>72.420533172076603</v>
      </c>
    </row>
    <row r="25" spans="1:22">
      <c r="A25" s="7">
        <v>116.9</v>
      </c>
      <c r="B25">
        <v>107.9</v>
      </c>
      <c r="C25">
        <f>H22-J22+K22+(0.475*I22)</f>
        <v>65.703800000000001</v>
      </c>
      <c r="F25" s="26"/>
      <c r="G25" s="26"/>
      <c r="H25" s="26"/>
      <c r="I25" s="26"/>
      <c r="J25" s="26"/>
      <c r="K25" s="26"/>
      <c r="M25" s="30">
        <f t="shared" si="0"/>
        <v>18.48088447651066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80.552120385605946</v>
      </c>
    </row>
    <row r="27" spans="1:22">
      <c r="A27" s="7" t="s">
        <v>78</v>
      </c>
      <c r="B27" s="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14.140865422896718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110.53887766418087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69.862423434807255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60.242411654834903</v>
      </c>
    </row>
    <row r="31" spans="1:22">
      <c r="F31" s="26"/>
      <c r="G31" s="26"/>
      <c r="H31" s="26"/>
      <c r="I31" s="26"/>
      <c r="J31" s="26"/>
      <c r="K31" s="26"/>
      <c r="M31" s="31">
        <f t="shared" si="0"/>
        <v>0.28470985487540196</v>
      </c>
    </row>
    <row r="32" spans="1:22">
      <c r="D32" s="7"/>
      <c r="L32" s="33" t="s">
        <v>83</v>
      </c>
      <c r="M32" s="29">
        <f>SUM(M22:M31)</f>
        <v>477.75448834647551</v>
      </c>
    </row>
    <row r="35" spans="1:1">
      <c r="A35" s="7"/>
    </row>
  </sheetData>
  <mergeCells count="1">
    <mergeCell ref="A21:B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1CA5-8790-5D4C-B226-C5CDE467F1D4}">
  <dimension ref="A1:V35"/>
  <sheetViews>
    <sheetView zoomScale="118" zoomScaleNormal="268" workbookViewId="0">
      <pane xSplit="5" topLeftCell="R1" activePane="topRight" state="frozen"/>
      <selection pane="topRight" activeCell="N27" sqref="N27"/>
    </sheetView>
  </sheetViews>
  <sheetFormatPr baseColWidth="10" defaultRowHeight="13"/>
  <cols>
    <col min="13" max="13" width="11.6640625" bestFit="1" customWidth="1"/>
    <col min="21" max="22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13</v>
      </c>
      <c r="B2" s="11">
        <v>13</v>
      </c>
      <c r="C2" s="12">
        <v>46022</v>
      </c>
      <c r="D2" s="11" t="s">
        <v>43</v>
      </c>
      <c r="E2" s="11" t="s">
        <v>9</v>
      </c>
      <c r="F2" s="11">
        <v>85</v>
      </c>
      <c r="G2" s="11">
        <v>95</v>
      </c>
      <c r="H2" s="11">
        <v>89</v>
      </c>
      <c r="I2" s="11">
        <v>15</v>
      </c>
      <c r="J2" s="11">
        <v>17</v>
      </c>
      <c r="K2" s="18">
        <v>16</v>
      </c>
      <c r="M2" s="10">
        <v>115.3</v>
      </c>
      <c r="N2" s="26">
        <v>100.9</v>
      </c>
      <c r="O2" s="10">
        <v>68.663174999999995</v>
      </c>
      <c r="P2" s="10">
        <f>(C24*O2)/B28</f>
        <v>66.159158373152167</v>
      </c>
      <c r="Q2" s="10">
        <f>(((M2*B24)/B27)*P2)/100</f>
        <v>62.382201722987475</v>
      </c>
      <c r="R2" s="10">
        <f>(((A24*N2)/B27)*P2)/100</f>
        <v>70.21337788651627</v>
      </c>
      <c r="S2" s="10">
        <f>(Q2-R2)+3.2</f>
        <v>-4.6311761635287949</v>
      </c>
      <c r="T2" s="10">
        <f>G2-F2</f>
        <v>10</v>
      </c>
      <c r="U2" s="10">
        <f>S2-1.036*B29</f>
        <v>-14.878602351735289</v>
      </c>
      <c r="V2" s="10">
        <f>S2+1.036*B29</f>
        <v>5.6162500246776981</v>
      </c>
    </row>
    <row r="3" spans="1:22" ht="14">
      <c r="A3" s="17">
        <v>14</v>
      </c>
      <c r="B3" s="11">
        <v>14</v>
      </c>
      <c r="C3" s="12">
        <v>46025</v>
      </c>
      <c r="D3" s="11" t="s">
        <v>43</v>
      </c>
      <c r="E3" s="11" t="s">
        <v>10</v>
      </c>
      <c r="F3" s="11">
        <v>76</v>
      </c>
      <c r="G3" s="11">
        <v>61</v>
      </c>
      <c r="H3" s="11">
        <v>52</v>
      </c>
      <c r="I3" s="11">
        <v>15</v>
      </c>
      <c r="J3" s="11">
        <v>9</v>
      </c>
      <c r="K3" s="18">
        <v>13</v>
      </c>
      <c r="M3" s="10">
        <v>125.2</v>
      </c>
      <c r="N3" s="10">
        <v>100.9</v>
      </c>
      <c r="O3" s="10">
        <v>71.373625000000004</v>
      </c>
      <c r="P3" s="10">
        <f>(C24*O3)/B28</f>
        <v>68.770763368297111</v>
      </c>
      <c r="Q3" s="10">
        <f>(((M3*B24)/B27)*P3)/100</f>
        <v>70.412472334232518</v>
      </c>
      <c r="R3" s="10">
        <f>(((A24*N3)/B27)*P3)/100</f>
        <v>72.985021494498412</v>
      </c>
      <c r="S3" s="10">
        <f>(Q3-R3)+3.8</f>
        <v>1.2274508397341064</v>
      </c>
      <c r="T3" s="10">
        <f>G3-F3</f>
        <v>-15</v>
      </c>
      <c r="U3" s="10">
        <f>S3-1.036*B29</f>
        <v>-9.0199753484723857</v>
      </c>
      <c r="V3" s="10">
        <f>S3+1.036*B29</f>
        <v>11.4748770279406</v>
      </c>
    </row>
    <row r="4" spans="1:22" ht="16">
      <c r="A4" s="17">
        <v>15</v>
      </c>
      <c r="B4" s="11">
        <v>15</v>
      </c>
      <c r="C4" s="12">
        <v>46029</v>
      </c>
      <c r="D4" s="13"/>
      <c r="E4" s="11" t="s">
        <v>20</v>
      </c>
      <c r="F4" s="11">
        <v>84</v>
      </c>
      <c r="G4" s="11">
        <v>60</v>
      </c>
      <c r="H4" s="11">
        <v>60</v>
      </c>
      <c r="I4" s="11">
        <v>23</v>
      </c>
      <c r="J4" s="11">
        <v>9</v>
      </c>
      <c r="K4" s="18">
        <v>11</v>
      </c>
      <c r="M4" s="10">
        <v>114.8</v>
      </c>
      <c r="N4" s="10">
        <v>103</v>
      </c>
      <c r="O4" s="10">
        <v>70.069299999999998</v>
      </c>
      <c r="P4" s="10">
        <f>(C24*O4)/B28</f>
        <v>67.514004643623181</v>
      </c>
      <c r="Q4" s="10">
        <f>(((A24*N4)/B27)*P4)/100</f>
        <v>73.142503787228861</v>
      </c>
      <c r="R4" s="10">
        <f>(((M4*B24)/B27)*P4)/100</f>
        <v>63.383640097014506</v>
      </c>
      <c r="S4" s="10">
        <f>(Q4-R4)+3.8</f>
        <v>13.558863690214356</v>
      </c>
      <c r="T4" s="10">
        <f>F4-G4</f>
        <v>24</v>
      </c>
      <c r="U4" s="10">
        <f>S4-1.036*B29</f>
        <v>3.3114375020078626</v>
      </c>
      <c r="V4" s="10">
        <f>S4+1.036*B29</f>
        <v>23.806289878420849</v>
      </c>
    </row>
    <row r="5" spans="1:22" ht="16">
      <c r="A5" s="17">
        <v>16</v>
      </c>
      <c r="B5" s="11">
        <v>16</v>
      </c>
      <c r="C5" s="12">
        <v>46032</v>
      </c>
      <c r="D5" s="13"/>
      <c r="E5" s="11" t="s">
        <v>22</v>
      </c>
      <c r="F5" s="11">
        <v>70</v>
      </c>
      <c r="G5" s="11">
        <v>55</v>
      </c>
      <c r="H5" s="11">
        <v>57</v>
      </c>
      <c r="I5" s="11">
        <v>17</v>
      </c>
      <c r="J5" s="11">
        <v>11</v>
      </c>
      <c r="K5" s="18">
        <v>9</v>
      </c>
      <c r="M5" s="10">
        <v>111.6</v>
      </c>
      <c r="N5" s="10">
        <v>103.8</v>
      </c>
      <c r="O5" s="10">
        <v>62.672174999999996</v>
      </c>
      <c r="P5" s="10">
        <f>(C24*O5)/B28</f>
        <v>60.386638855760857</v>
      </c>
      <c r="Q5" s="10">
        <f>(((A24*N5)/B27)*P5)/100</f>
        <v>65.929068496646607</v>
      </c>
      <c r="R5" s="10">
        <f>(((M5*B24)/B27)*P5)/100</f>
        <v>55.112038037986686</v>
      </c>
      <c r="S5" s="10">
        <f>(Q5-R5)+3.8</f>
        <v>14.617030458659922</v>
      </c>
      <c r="T5" s="10">
        <f>F5-G5</f>
        <v>15</v>
      </c>
      <c r="U5" s="10">
        <f>S5-1.036*B29</f>
        <v>4.3696042704534293</v>
      </c>
      <c r="V5" s="10">
        <f>S5+1.036*B29</f>
        <v>24.864456646866415</v>
      </c>
    </row>
    <row r="6" spans="1:22" ht="14">
      <c r="A6" s="17">
        <v>17</v>
      </c>
      <c r="B6" s="11">
        <v>17</v>
      </c>
      <c r="C6" s="12">
        <v>46035</v>
      </c>
      <c r="D6" s="11" t="s">
        <v>43</v>
      </c>
      <c r="E6" s="11" t="s">
        <v>7</v>
      </c>
      <c r="F6" s="11">
        <v>79</v>
      </c>
      <c r="G6" s="11">
        <v>70</v>
      </c>
      <c r="H6" s="11">
        <v>53</v>
      </c>
      <c r="I6" s="11">
        <v>29</v>
      </c>
      <c r="J6" s="11">
        <v>12</v>
      </c>
      <c r="K6" s="18">
        <v>13</v>
      </c>
      <c r="M6" s="10">
        <v>122.3</v>
      </c>
      <c r="N6" s="10">
        <v>98.9</v>
      </c>
      <c r="O6" s="10">
        <v>71.274299999999997</v>
      </c>
      <c r="P6" s="10">
        <f>(C24*O6)/B28</f>
        <v>68.675060563913036</v>
      </c>
      <c r="Q6" s="10">
        <f>(((M6*B24)/B27)*P6)/100</f>
        <v>68.685794748681658</v>
      </c>
      <c r="R6" s="10">
        <f>(((A24*N6)/B27)*P6)/100</f>
        <v>71.438786964948861</v>
      </c>
      <c r="S6" s="10">
        <f>(Q6-R6)+3.5</f>
        <v>0.74700778373279775</v>
      </c>
      <c r="T6" s="10">
        <f>G6-F6</f>
        <v>-9</v>
      </c>
      <c r="U6" s="10">
        <f>S6-1.036*B29</f>
        <v>-9.5004184044736952</v>
      </c>
      <c r="V6" s="10">
        <f>S6+1.036*B29</f>
        <v>10.994433971939291</v>
      </c>
    </row>
    <row r="7" spans="1:22" ht="14">
      <c r="A7" s="17">
        <v>18</v>
      </c>
      <c r="B7" s="11">
        <v>18</v>
      </c>
      <c r="C7" s="12">
        <v>46039</v>
      </c>
      <c r="D7" s="11" t="s">
        <v>43</v>
      </c>
      <c r="E7" s="11" t="s">
        <v>13</v>
      </c>
      <c r="F7" s="11">
        <v>72</v>
      </c>
      <c r="G7" s="11">
        <v>68</v>
      </c>
      <c r="H7" s="11">
        <v>60</v>
      </c>
      <c r="I7" s="11">
        <v>12</v>
      </c>
      <c r="J7" s="11">
        <v>14</v>
      </c>
      <c r="K7" s="18">
        <v>11</v>
      </c>
      <c r="M7" s="27">
        <v>125.9</v>
      </c>
      <c r="N7" s="27">
        <v>104.5</v>
      </c>
      <c r="O7" s="27">
        <v>70.171149999999997</v>
      </c>
      <c r="P7" s="10">
        <f>(C24*O7)/B28</f>
        <v>67.612140366014486</v>
      </c>
      <c r="Q7" s="10">
        <f>(((M7*B24)/B27)*P7)/100</f>
        <v>69.613237850267012</v>
      </c>
      <c r="R7" s="10">
        <f>(((A24*N7)/B27)*P7)/100</f>
        <v>74.315551277432562</v>
      </c>
      <c r="S7" s="10">
        <f>(Q7-R7)+3.3</f>
        <v>-1.4023134271655495</v>
      </c>
      <c r="T7" s="10">
        <f>G7-F7</f>
        <v>-4</v>
      </c>
      <c r="U7" s="10">
        <f>S7-1.036*B29</f>
        <v>-11.649739615372042</v>
      </c>
      <c r="V7" s="10">
        <f>S7+1.036*B29</f>
        <v>8.8451127610409443</v>
      </c>
    </row>
    <row r="8" spans="1:22" ht="16">
      <c r="A8" s="17">
        <v>19</v>
      </c>
      <c r="B8" s="11">
        <v>19</v>
      </c>
      <c r="C8" s="12">
        <v>46046</v>
      </c>
      <c r="D8" s="13"/>
      <c r="E8" s="11" t="s">
        <v>18</v>
      </c>
      <c r="F8" s="11">
        <v>80</v>
      </c>
      <c r="G8" s="11">
        <v>85</v>
      </c>
      <c r="H8" s="11">
        <v>64</v>
      </c>
      <c r="I8" s="11">
        <v>20</v>
      </c>
      <c r="J8" s="11">
        <v>13</v>
      </c>
      <c r="K8" s="18">
        <v>10</v>
      </c>
      <c r="M8" s="27">
        <v>128.80000000000001</v>
      </c>
      <c r="N8" s="27">
        <v>107</v>
      </c>
      <c r="O8" s="27">
        <v>71.825850000000003</v>
      </c>
      <c r="P8" s="10">
        <f>(C24*O8)/B28</f>
        <v>69.206496574565222</v>
      </c>
      <c r="Q8" s="10">
        <f>(((A24*N8)/B27)*P8)/100</f>
        <v>77.887788191509401</v>
      </c>
      <c r="R8" s="10">
        <f>(((M8*B24)/B27)*P8)/100</f>
        <v>72.896075393673485</v>
      </c>
      <c r="S8" s="10">
        <f>(Q8-R8)+3.8</f>
        <v>8.7917127978359169</v>
      </c>
      <c r="T8" s="10">
        <f>F8-G8</f>
        <v>-5</v>
      </c>
      <c r="U8" s="10">
        <f>S8-1.036*B29</f>
        <v>-1.4557133903705761</v>
      </c>
      <c r="V8" s="10">
        <f>S8+1.036*B29</f>
        <v>19.03913898604241</v>
      </c>
    </row>
    <row r="9" spans="1:22" ht="14">
      <c r="A9" s="17">
        <v>20</v>
      </c>
      <c r="B9" s="11">
        <v>20</v>
      </c>
      <c r="C9" s="12">
        <v>46049</v>
      </c>
      <c r="D9" s="11" t="s">
        <v>43</v>
      </c>
      <c r="E9" s="11" t="s">
        <v>16</v>
      </c>
      <c r="F9" s="11">
        <v>100</v>
      </c>
      <c r="G9" s="11">
        <v>97</v>
      </c>
      <c r="H9" s="11">
        <v>65</v>
      </c>
      <c r="I9" s="11">
        <v>35</v>
      </c>
      <c r="J9" s="11">
        <v>11</v>
      </c>
      <c r="K9" s="18">
        <v>11</v>
      </c>
      <c r="M9" s="27">
        <v>113.1</v>
      </c>
      <c r="N9" s="27">
        <v>105.6</v>
      </c>
      <c r="O9" s="27">
        <v>64.468800000000002</v>
      </c>
      <c r="P9" s="10">
        <f>(C24*O9)/B28</f>
        <v>62.117744326956526</v>
      </c>
      <c r="Q9" s="10">
        <f>(((M9*B24)/B27)*P9)/100</f>
        <v>57.453924771672774</v>
      </c>
      <c r="R9" s="10">
        <f>(((A24*N9)/B27)*P9)/100</f>
        <v>68.995111999383496</v>
      </c>
      <c r="S9" s="10">
        <f>(Q9-R9)+2.4</f>
        <v>-9.1411872277107218</v>
      </c>
      <c r="T9" s="10">
        <f>G9-F9</f>
        <v>-3</v>
      </c>
      <c r="U9" s="10">
        <f>S9-1.036*B29</f>
        <v>-19.388613415917213</v>
      </c>
      <c r="V9" s="10">
        <f>S9+1.036*B29</f>
        <v>1.1062389604957712</v>
      </c>
    </row>
    <row r="10" spans="1:22" ht="14">
      <c r="A10" s="17">
        <v>21</v>
      </c>
      <c r="B10" s="11">
        <v>21</v>
      </c>
      <c r="C10" s="12">
        <v>46053</v>
      </c>
      <c r="D10" s="11" t="s">
        <v>43</v>
      </c>
      <c r="E10" s="11" t="s">
        <v>12</v>
      </c>
      <c r="F10" s="11">
        <v>73</v>
      </c>
      <c r="G10" s="11">
        <v>66</v>
      </c>
      <c r="H10" s="11">
        <v>64</v>
      </c>
      <c r="I10" s="11">
        <v>18</v>
      </c>
      <c r="J10" s="11">
        <v>11</v>
      </c>
      <c r="K10" s="18">
        <v>7</v>
      </c>
      <c r="M10" s="27">
        <v>103.6</v>
      </c>
      <c r="N10" s="27">
        <v>97.3</v>
      </c>
      <c r="O10" s="27">
        <v>68.913325</v>
      </c>
      <c r="P10" s="10">
        <f>(C24*O10)/B28</f>
        <v>66.400185873949269</v>
      </c>
      <c r="Q10" s="10">
        <f>(((M10*B24)/B27)*P10)/100</f>
        <v>56.25620998224926</v>
      </c>
      <c r="R10" s="10">
        <f>(((A24*N10)/B27)*P10)/100</f>
        <v>67.954913542158479</v>
      </c>
      <c r="S10" s="10">
        <f>(Q10-R10)+2.5</f>
        <v>-9.1987035599092195</v>
      </c>
      <c r="T10" s="10">
        <f>G10-F10</f>
        <v>-7</v>
      </c>
      <c r="U10" s="10">
        <f>S10-1.036*B29</f>
        <v>-19.446129748115712</v>
      </c>
      <c r="V10" s="10">
        <f>S10+1.036*B29</f>
        <v>1.0487226282972735</v>
      </c>
    </row>
    <row r="11" spans="1:22" ht="16">
      <c r="A11" s="17">
        <v>22</v>
      </c>
      <c r="B11" s="11">
        <v>22</v>
      </c>
      <c r="C11" s="12">
        <v>46056</v>
      </c>
      <c r="D11" s="13"/>
      <c r="E11" s="11" t="s">
        <v>48</v>
      </c>
      <c r="F11" s="11">
        <v>67</v>
      </c>
      <c r="G11" s="11">
        <v>47</v>
      </c>
      <c r="H11" s="11">
        <v>59</v>
      </c>
      <c r="I11" s="11">
        <v>9</v>
      </c>
      <c r="J11" s="11">
        <v>12</v>
      </c>
      <c r="K11" s="18">
        <v>9</v>
      </c>
      <c r="M11" s="26">
        <v>111.6</v>
      </c>
      <c r="N11" s="26">
        <v>107.1</v>
      </c>
      <c r="O11" s="26">
        <v>66.7727</v>
      </c>
      <c r="P11" s="10">
        <f>(C24*O11)/B28</f>
        <v>64.337625434637687</v>
      </c>
      <c r="Q11" s="10">
        <f>(((A24*N11)/B27)*P11)/100</f>
        <v>72.475835018761046</v>
      </c>
      <c r="R11" s="10">
        <f>(((M11*B24)/B27)*P11)/100</f>
        <v>58.717917198486802</v>
      </c>
      <c r="S11" s="10">
        <f>(Q11-R11)+3.8</f>
        <v>17.557917820274245</v>
      </c>
      <c r="T11" s="25">
        <f>F11-G11</f>
        <v>20</v>
      </c>
      <c r="U11" s="10">
        <f>S11-1.036*B29</f>
        <v>7.3104916320677518</v>
      </c>
      <c r="V11" s="10">
        <f>S11+1.036*B29</f>
        <v>27.805344008480738</v>
      </c>
    </row>
    <row r="12" spans="1:22" ht="16">
      <c r="A12" s="17">
        <v>23</v>
      </c>
      <c r="B12" s="11">
        <v>23</v>
      </c>
      <c r="C12" s="12">
        <v>46060</v>
      </c>
      <c r="D12" s="13"/>
      <c r="E12" s="11" t="s">
        <v>4</v>
      </c>
      <c r="F12" s="11">
        <v>72</v>
      </c>
      <c r="G12" s="11">
        <v>59</v>
      </c>
      <c r="H12" s="11">
        <v>63</v>
      </c>
      <c r="I12" s="11">
        <v>14</v>
      </c>
      <c r="J12" s="11">
        <v>14</v>
      </c>
      <c r="K12" s="18">
        <v>9</v>
      </c>
      <c r="M12" s="26">
        <v>117.2</v>
      </c>
      <c r="N12" s="26">
        <v>104.5</v>
      </c>
      <c r="O12" s="26">
        <v>69.786749999999998</v>
      </c>
      <c r="P12" s="10">
        <f>(C24*O12)/B28</f>
        <v>67.241758709782601</v>
      </c>
      <c r="Q12" s="10">
        <f>(((A24*N12)/B27)*P12)/100</f>
        <v>73.908448103107418</v>
      </c>
      <c r="R12" s="10">
        <f>(((M12*B24)/B27)*P12)/100</f>
        <v>64.447799761527079</v>
      </c>
      <c r="S12" s="35">
        <f>(Q12-R12)+3.8</f>
        <v>13.260648341580339</v>
      </c>
      <c r="T12" s="25" t="s">
        <v>81</v>
      </c>
      <c r="U12" s="35">
        <f>S12-1.036*B29</f>
        <v>3.0132221533738459</v>
      </c>
      <c r="V12" s="35">
        <f>S12+1.036*B29</f>
        <v>23.508074529786832</v>
      </c>
    </row>
    <row r="13" spans="1:22" ht="14">
      <c r="A13" s="17">
        <v>24</v>
      </c>
      <c r="B13" s="11">
        <v>24</v>
      </c>
      <c r="C13" s="12">
        <v>46063</v>
      </c>
      <c r="D13" s="11" t="s">
        <v>43</v>
      </c>
      <c r="E13" s="11" t="s">
        <v>15</v>
      </c>
      <c r="F13" s="11">
        <v>61</v>
      </c>
      <c r="G13" s="11">
        <v>58</v>
      </c>
      <c r="H13" s="11">
        <v>61</v>
      </c>
      <c r="I13" s="11">
        <v>8</v>
      </c>
      <c r="J13" s="11">
        <v>10</v>
      </c>
      <c r="K13" s="18">
        <v>14</v>
      </c>
      <c r="M13" s="26">
        <v>116.5</v>
      </c>
      <c r="N13" s="26">
        <v>104.7</v>
      </c>
      <c r="O13" s="26">
        <v>71.247624999999999</v>
      </c>
      <c r="P13" s="10">
        <f>(C24*O13)/B28</f>
        <v>68.6493583509058</v>
      </c>
      <c r="Q13" s="10">
        <f>(((M13*B24)/B27)*P13)/100</f>
        <v>65.403927329385652</v>
      </c>
      <c r="R13" s="10">
        <f>(((A24*N13)/B27)*P13)/100</f>
        <v>75.600016959895697</v>
      </c>
      <c r="S13" s="35">
        <f>(Q13-R13)+2.6</f>
        <v>-7.5960896305100452</v>
      </c>
      <c r="T13" s="25" t="s">
        <v>81</v>
      </c>
      <c r="U13" s="35">
        <f>S13-1.036*B29</f>
        <v>-17.84351581871654</v>
      </c>
      <c r="V13" s="35">
        <f>S13+1.036*B29</f>
        <v>2.6513365576964478</v>
      </c>
    </row>
    <row r="14" spans="1:22" ht="14">
      <c r="A14" s="17">
        <v>25</v>
      </c>
      <c r="B14" s="11">
        <v>25</v>
      </c>
      <c r="C14" s="12">
        <v>46067</v>
      </c>
      <c r="D14" s="11" t="s">
        <v>85</v>
      </c>
      <c r="E14" s="11" t="s">
        <v>24</v>
      </c>
      <c r="F14" s="11">
        <v>70</v>
      </c>
      <c r="G14" s="11">
        <v>66</v>
      </c>
      <c r="H14" s="11">
        <v>50</v>
      </c>
      <c r="I14" s="11">
        <v>32</v>
      </c>
      <c r="J14" s="11">
        <v>11</v>
      </c>
      <c r="K14" s="18">
        <v>11</v>
      </c>
      <c r="M14" s="26">
        <v>126.4</v>
      </c>
      <c r="N14" s="26">
        <v>104.6</v>
      </c>
      <c r="O14" s="26">
        <v>64.94127499999999</v>
      </c>
      <c r="P14" s="10">
        <f>(C24*O14)/B33</f>
        <v>63.260604318205118</v>
      </c>
      <c r="Q14" s="10">
        <f>(((A24*N14)/B31)*P14)/100</f>
        <v>67.784508997741156</v>
      </c>
      <c r="R14" s="10">
        <f>(((M14*B24)/B31)*P14)/100</f>
        <v>63.686669010703184</v>
      </c>
      <c r="S14" s="35">
        <f>(Q14-R14)</f>
        <v>4.0978399870379718</v>
      </c>
      <c r="T14" s="25" t="s">
        <v>81</v>
      </c>
      <c r="U14" s="35">
        <f>S14-1.036*B29</f>
        <v>-6.1495862011685212</v>
      </c>
      <c r="V14" s="35">
        <f>S14+1.036*B29</f>
        <v>14.345266175244465</v>
      </c>
    </row>
    <row r="15" spans="1:22" ht="14">
      <c r="A15" s="17">
        <v>26</v>
      </c>
      <c r="B15" s="11">
        <v>26</v>
      </c>
      <c r="C15" s="12">
        <v>46071</v>
      </c>
      <c r="D15" s="11" t="s">
        <v>43</v>
      </c>
      <c r="E15" s="11" t="s">
        <v>21</v>
      </c>
      <c r="F15" s="11">
        <v>94</v>
      </c>
      <c r="G15" s="11">
        <v>68</v>
      </c>
      <c r="H15" s="11">
        <v>79</v>
      </c>
      <c r="I15" s="11">
        <v>13</v>
      </c>
      <c r="J15" s="11">
        <v>20</v>
      </c>
      <c r="K15" s="18">
        <v>13</v>
      </c>
      <c r="M15" s="26">
        <v>109.3</v>
      </c>
      <c r="N15" s="26">
        <v>104.7</v>
      </c>
      <c r="O15" s="26">
        <v>72.415624999999991</v>
      </c>
      <c r="P15" s="10">
        <f>(C24*O15)/B28</f>
        <v>69.774763591485495</v>
      </c>
      <c r="Q15" s="10">
        <f>(((M15*B24)/B27)*P15)/100</f>
        <v>62.367732578067788</v>
      </c>
      <c r="R15" s="10">
        <f>(((A24*N15)/B27)*P15)/100</f>
        <v>76.839368023305283</v>
      </c>
      <c r="S15" s="35">
        <f>(Q15-R15)+2.4</f>
        <v>-12.071635445237495</v>
      </c>
      <c r="T15" s="25" t="s">
        <v>81</v>
      </c>
      <c r="U15" s="35">
        <f>S15-1.036*B29</f>
        <v>-22.319061633443987</v>
      </c>
      <c r="V15" s="35">
        <f>S15+1.036*B29</f>
        <v>-1.8242092570310025</v>
      </c>
    </row>
    <row r="16" spans="1:22" ht="16">
      <c r="A16" s="17">
        <v>27</v>
      </c>
      <c r="B16" s="11">
        <v>27</v>
      </c>
      <c r="C16" s="12">
        <v>46074</v>
      </c>
      <c r="D16" s="13"/>
      <c r="E16" s="11" t="s">
        <v>46</v>
      </c>
      <c r="F16" s="11">
        <v>86</v>
      </c>
      <c r="G16" s="11">
        <v>83</v>
      </c>
      <c r="H16" s="11">
        <v>50</v>
      </c>
      <c r="I16" s="11">
        <v>18</v>
      </c>
      <c r="J16" s="11">
        <v>3</v>
      </c>
      <c r="K16" s="18">
        <v>9</v>
      </c>
      <c r="M16" s="26">
        <v>119.4</v>
      </c>
      <c r="N16" s="26">
        <v>104.2</v>
      </c>
      <c r="O16" s="26">
        <v>68.519300000000001</v>
      </c>
      <c r="P16" s="10">
        <f>(C24*O16)/B28</f>
        <v>66.020530223333338</v>
      </c>
      <c r="Q16" s="10">
        <f>(((A24*N16)/B27)*P16)/100</f>
        <v>72.357816974201072</v>
      </c>
      <c r="R16" s="10">
        <f>(((M16*B24)/B27)*P16)/100</f>
        <v>64.465113897294501</v>
      </c>
      <c r="S16" s="35">
        <f>(Q16-R16)+3.8</f>
        <v>11.692703076906572</v>
      </c>
      <c r="T16" s="25" t="s">
        <v>81</v>
      </c>
      <c r="U16" s="35">
        <f>S16-1.036*B29</f>
        <v>1.4452768887000786</v>
      </c>
      <c r="V16" s="35">
        <f>S16+1.036*B29</f>
        <v>21.940129265113065</v>
      </c>
    </row>
    <row r="17" spans="1:22" ht="16">
      <c r="A17" s="17">
        <v>28</v>
      </c>
      <c r="B17" s="13"/>
      <c r="C17" s="12">
        <v>46077</v>
      </c>
      <c r="D17" s="13"/>
      <c r="E17" s="11" t="s">
        <v>10</v>
      </c>
      <c r="F17" s="13"/>
      <c r="G17" s="13"/>
      <c r="H17" s="13"/>
      <c r="I17" s="13"/>
      <c r="J17" s="13"/>
      <c r="K17" s="19"/>
      <c r="M17" s="26">
        <v>123.9</v>
      </c>
      <c r="N17" s="26">
        <v>102.4</v>
      </c>
      <c r="O17" s="26">
        <v>71.502499999999998</v>
      </c>
      <c r="P17" s="10">
        <f>(C25*O17)/B28</f>
        <v>69.314782567028971</v>
      </c>
      <c r="Q17" s="10">
        <f>(((A25*N17)/B27)*P17)/100</f>
        <v>73.30750558633045</v>
      </c>
      <c r="R17" s="10">
        <f>(((M17*B25)/B27)*P17)/100</f>
        <v>72.383308485436714</v>
      </c>
      <c r="S17" s="41">
        <f>(Q17-R17)+3.8</f>
        <v>4.7241971008937353</v>
      </c>
      <c r="T17" s="25" t="s">
        <v>81</v>
      </c>
      <c r="U17" s="41">
        <f>S17-1.036*B29</f>
        <v>-5.5232290873127576</v>
      </c>
      <c r="V17" s="41">
        <f>S17+1.036*B29</f>
        <v>14.971623289100229</v>
      </c>
    </row>
    <row r="18" spans="1:22" ht="16">
      <c r="A18" s="17">
        <v>29</v>
      </c>
      <c r="B18" s="13"/>
      <c r="C18" s="12">
        <v>46081</v>
      </c>
      <c r="D18" s="11" t="s">
        <v>43</v>
      </c>
      <c r="E18" s="11" t="s">
        <v>17</v>
      </c>
      <c r="F18" s="13"/>
      <c r="G18" s="13"/>
      <c r="H18" s="13"/>
      <c r="I18" s="13"/>
      <c r="J18" s="13"/>
      <c r="K18" s="19"/>
      <c r="M18" s="26">
        <v>129.6</v>
      </c>
      <c r="N18" s="26">
        <v>89.5</v>
      </c>
      <c r="O18" s="26">
        <v>64.04657499999999</v>
      </c>
      <c r="P18" s="10">
        <f>(C25*O18)/B28</f>
        <v>62.086981857807956</v>
      </c>
      <c r="Q18" s="10">
        <f>(((M18*B25)/B27)*P18)/100</f>
        <v>67.818285841117316</v>
      </c>
      <c r="R18" s="10">
        <f>(((A25*N18)/B27)*P18)/100</f>
        <v>57.391318756679439</v>
      </c>
      <c r="S18" s="41">
        <f>(Q18-R18)+4.5</f>
        <v>14.926967084437877</v>
      </c>
      <c r="T18" s="25" t="s">
        <v>81</v>
      </c>
      <c r="U18" s="41">
        <f>S18-1.036*B29</f>
        <v>4.6795408962313836</v>
      </c>
      <c r="V18" s="41">
        <f>S18+1.036*B29</f>
        <v>25.17439327264437</v>
      </c>
    </row>
    <row r="19" spans="1:22" ht="16">
      <c r="A19" s="17">
        <v>30</v>
      </c>
      <c r="B19" s="13"/>
      <c r="C19" s="12">
        <v>46084</v>
      </c>
      <c r="D19" s="13"/>
      <c r="E19" s="11" t="s">
        <v>8</v>
      </c>
      <c r="F19" s="13"/>
      <c r="G19" s="13"/>
      <c r="H19" s="13"/>
      <c r="I19" s="13"/>
      <c r="J19" s="13"/>
      <c r="K19" s="19"/>
      <c r="M19" s="26">
        <v>120.5</v>
      </c>
      <c r="N19" s="26">
        <v>109.4</v>
      </c>
      <c r="O19" s="26">
        <v>68.680674999999994</v>
      </c>
      <c r="P19" s="10">
        <f>(C25*O19)/B28</f>
        <v>66.579295188025341</v>
      </c>
      <c r="Q19" s="10">
        <f>(((A25*N19)/B27)*P19)/100</f>
        <v>75.227934133935122</v>
      </c>
      <c r="R19" s="10">
        <f>(((M19*B25)/B27)*P19)/100</f>
        <v>67.618806118076719</v>
      </c>
      <c r="S19" s="41">
        <f>(Q19-R19)+3.8</f>
        <v>11.409128015858403</v>
      </c>
      <c r="T19" s="25" t="s">
        <v>81</v>
      </c>
      <c r="U19" s="41">
        <f>S19-1.036*B29</f>
        <v>1.1617018276519104</v>
      </c>
      <c r="V19" s="41">
        <f>S19+1.036*B29</f>
        <v>21.656554204064896</v>
      </c>
    </row>
    <row r="20" spans="1:22" ht="16">
      <c r="A20" s="20">
        <v>31</v>
      </c>
      <c r="B20" s="21"/>
      <c r="C20" s="22">
        <v>46088</v>
      </c>
      <c r="D20" s="21"/>
      <c r="E20" s="23" t="s">
        <v>9</v>
      </c>
      <c r="F20" s="21"/>
      <c r="G20" s="21"/>
      <c r="H20" s="21"/>
      <c r="I20" s="21"/>
      <c r="J20" s="21"/>
      <c r="K20" s="24"/>
      <c r="M20" s="26">
        <v>118.6</v>
      </c>
      <c r="N20" s="26">
        <v>103</v>
      </c>
      <c r="O20" s="26">
        <v>68.6357</v>
      </c>
      <c r="P20" s="10">
        <f>(C25*O20)/B28</f>
        <v>66.535696260072456</v>
      </c>
      <c r="Q20" s="10">
        <f>(((A25*N20)/B27)*P20)/100</f>
        <v>70.780650698495734</v>
      </c>
      <c r="R20" s="10">
        <f>(((M20*B25)/B27)*P20)/100</f>
        <v>66.509036015629732</v>
      </c>
      <c r="S20" s="41">
        <f>(Q20-R20)+3.8</f>
        <v>8.0716146828660023</v>
      </c>
      <c r="T20" s="25" t="s">
        <v>81</v>
      </c>
      <c r="U20" s="41">
        <f>S20-1.036*B29</f>
        <v>-2.1758115053404907</v>
      </c>
      <c r="V20" s="41">
        <f>S20+1.036*B29</f>
        <v>18.319040871072495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9">
        <v>59.683</v>
      </c>
      <c r="I21" s="39">
        <v>15.292</v>
      </c>
      <c r="J21" s="39">
        <v>11.391</v>
      </c>
      <c r="K21" s="39">
        <v>10.928000000000001</v>
      </c>
      <c r="M21" s="32" t="s">
        <v>82</v>
      </c>
    </row>
    <row r="22" spans="1:22">
      <c r="F22" s="26"/>
      <c r="G22" s="26"/>
      <c r="H22" s="34">
        <v>61.76</v>
      </c>
      <c r="I22" s="34">
        <v>15.726000000000001</v>
      </c>
      <c r="J22" s="34">
        <v>12.869</v>
      </c>
      <c r="K22" s="34">
        <v>10.528</v>
      </c>
      <c r="M22" s="30">
        <f>(T2-S2)^2</f>
        <v>214.07131592821321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29" si="0">(T3-S3)^2</f>
        <v>263.33016075598721</v>
      </c>
    </row>
    <row r="24" spans="1:22">
      <c r="A24" s="7">
        <v>121.8</v>
      </c>
      <c r="B24">
        <v>94.7</v>
      </c>
      <c r="C24">
        <f>H21-J21+K21+(0.475*I21)</f>
        <v>66.483699999999999</v>
      </c>
      <c r="F24" s="26"/>
      <c r="G24" s="26"/>
      <c r="H24" s="26"/>
      <c r="I24" s="26"/>
      <c r="J24" s="26"/>
      <c r="K24" s="26"/>
      <c r="M24" s="30">
        <f t="shared" si="0"/>
        <v>109.01732743952418</v>
      </c>
    </row>
    <row r="25" spans="1:22">
      <c r="A25" s="7">
        <v>119.6</v>
      </c>
      <c r="B25">
        <v>97.6</v>
      </c>
      <c r="C25">
        <f>H22-J22+K22+(0.475*I22)</f>
        <v>66.888849999999991</v>
      </c>
      <c r="F25" s="26"/>
      <c r="G25" s="26"/>
      <c r="H25" s="26"/>
      <c r="I25" s="26"/>
      <c r="J25" s="26"/>
      <c r="K25" s="26"/>
      <c r="M25" s="30">
        <f t="shared" si="0"/>
        <v>0.14666566959422953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95.004160736147739</v>
      </c>
    </row>
    <row r="27" spans="1:22">
      <c r="A27" s="7" t="s">
        <v>78</v>
      </c>
      <c r="B2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6.7479755306843927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190.21134189799102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37.714180565797299</v>
      </c>
    </row>
    <row r="30" spans="1:22">
      <c r="A30" s="7" t="s">
        <v>90</v>
      </c>
      <c r="B30">
        <v>118.9</v>
      </c>
      <c r="F30" s="26"/>
      <c r="G30" s="26"/>
      <c r="H30" s="26"/>
      <c r="I30" s="26"/>
      <c r="J30" s="26"/>
      <c r="K30" s="26"/>
      <c r="M30" s="31">
        <f>(T10-S10)^2</f>
        <v>4.8342973443574744</v>
      </c>
    </row>
    <row r="31" spans="1:22">
      <c r="A31" s="7" t="s">
        <v>94</v>
      </c>
      <c r="B31">
        <v>118.9</v>
      </c>
      <c r="F31" s="26"/>
      <c r="G31" s="26"/>
      <c r="H31" s="26"/>
      <c r="I31" s="26"/>
      <c r="J31" s="26"/>
      <c r="K31" s="26"/>
      <c r="M31" s="31">
        <f>(T11-S11)^2</f>
        <v>5.9637653725340956</v>
      </c>
    </row>
    <row r="32" spans="1:22">
      <c r="A32" s="7" t="s">
        <v>91</v>
      </c>
      <c r="B32">
        <v>67.5</v>
      </c>
      <c r="L32" s="33" t="s">
        <v>83</v>
      </c>
      <c r="M32" s="29">
        <f>SUM(M22:M31)</f>
        <v>927.0411912408307</v>
      </c>
    </row>
    <row r="33" spans="1:2">
      <c r="A33" s="7" t="s">
        <v>95</v>
      </c>
      <c r="B33">
        <f>(B32+B28)/2</f>
        <v>68.25</v>
      </c>
    </row>
    <row r="35" spans="1:2">
      <c r="A35" s="7" t="s">
        <v>98</v>
      </c>
    </row>
  </sheetData>
  <mergeCells count="1">
    <mergeCell ref="A21:B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8DAF-4474-254A-91EE-5A61358633F6}">
  <dimension ref="A1:V32"/>
  <sheetViews>
    <sheetView zoomScale="125" zoomScaleNormal="194" workbookViewId="0">
      <pane xSplit="5" topLeftCell="L1" activePane="topRight" state="frozen"/>
      <selection pane="topRight" activeCell="I26" sqref="I26"/>
    </sheetView>
  </sheetViews>
  <sheetFormatPr baseColWidth="10" defaultRowHeight="13"/>
  <cols>
    <col min="13" max="13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6">
      <c r="A2" s="17">
        <v>14</v>
      </c>
      <c r="B2" s="11">
        <v>14</v>
      </c>
      <c r="C2" s="12">
        <v>46022</v>
      </c>
      <c r="D2" s="13"/>
      <c r="E2" s="11" t="s">
        <v>5</v>
      </c>
      <c r="F2" s="11">
        <v>95</v>
      </c>
      <c r="G2" s="11">
        <v>85</v>
      </c>
      <c r="H2" s="11">
        <v>82</v>
      </c>
      <c r="I2" s="11">
        <v>41</v>
      </c>
      <c r="J2" s="11">
        <v>18</v>
      </c>
      <c r="K2" s="18">
        <v>14</v>
      </c>
      <c r="L2" s="7"/>
      <c r="M2" s="10">
        <v>121.8</v>
      </c>
      <c r="N2" s="26">
        <v>94.7</v>
      </c>
      <c r="O2" s="10">
        <v>66.483699999999999</v>
      </c>
      <c r="P2" s="10">
        <f>(C24*O2)/B28</f>
        <v>66.159158373152167</v>
      </c>
      <c r="Q2" s="10">
        <f>(((A24*N2)/B27)*P2)/100</f>
        <v>62.382201722987475</v>
      </c>
      <c r="R2" s="10">
        <f>(((M2*B24)/B27)*P2)/100</f>
        <v>70.21337788651627</v>
      </c>
      <c r="S2" s="10">
        <f>(Q2-R2)+3.2</f>
        <v>-4.6311761635287949</v>
      </c>
      <c r="T2" s="10">
        <f>F2-G2</f>
        <v>10</v>
      </c>
      <c r="U2" s="10">
        <f>S2-1.036*B29</f>
        <v>-14.878602351735289</v>
      </c>
      <c r="V2" s="10">
        <f>S2+1.036*B29</f>
        <v>5.6162500246776981</v>
      </c>
    </row>
    <row r="3" spans="1:22" ht="14">
      <c r="A3" s="17">
        <v>15</v>
      </c>
      <c r="B3" s="11">
        <v>15</v>
      </c>
      <c r="C3" s="12">
        <v>46025</v>
      </c>
      <c r="D3" s="11" t="s">
        <v>43</v>
      </c>
      <c r="E3" s="11" t="s">
        <v>8</v>
      </c>
      <c r="F3" s="11">
        <v>78</v>
      </c>
      <c r="G3" s="11">
        <v>81</v>
      </c>
      <c r="H3" s="11">
        <v>53</v>
      </c>
      <c r="I3" s="11">
        <v>25</v>
      </c>
      <c r="J3" s="11">
        <v>7</v>
      </c>
      <c r="K3" s="18">
        <v>18</v>
      </c>
      <c r="M3" s="10">
        <v>114.7</v>
      </c>
      <c r="N3" s="10">
        <v>105.6</v>
      </c>
      <c r="O3" s="10">
        <v>70.806899999999999</v>
      </c>
      <c r="P3" s="10">
        <f>(C24*O3)/B28</f>
        <v>70.461254578369562</v>
      </c>
      <c r="Q3" s="10">
        <f>(((M3*B24)/B27)*P3)/100</f>
        <v>70.42006090881037</v>
      </c>
      <c r="R3" s="10">
        <f>(((A24*N3)/B27)*P3)/100</f>
        <v>74.085810720618539</v>
      </c>
      <c r="S3" s="10">
        <f>(Q3-R3)+2.3</f>
        <v>-1.3657498118081692</v>
      </c>
      <c r="T3" s="10">
        <f>G3-F3</f>
        <v>3</v>
      </c>
      <c r="U3" s="10">
        <f>S3-1.036*B29</f>
        <v>-11.613176000014661</v>
      </c>
      <c r="V3" s="10">
        <f>S3+1.036*B29</f>
        <v>8.8816763763983246</v>
      </c>
    </row>
    <row r="4" spans="1:22" ht="16">
      <c r="A4" s="17">
        <v>16</v>
      </c>
      <c r="B4" s="11">
        <v>16</v>
      </c>
      <c r="C4" s="12">
        <v>46029</v>
      </c>
      <c r="D4" s="13"/>
      <c r="E4" s="11" t="s">
        <v>22</v>
      </c>
      <c r="F4" s="11">
        <v>68</v>
      </c>
      <c r="G4" s="11">
        <v>69</v>
      </c>
      <c r="H4" s="11">
        <v>53</v>
      </c>
      <c r="I4" s="11">
        <v>25</v>
      </c>
      <c r="J4" s="11">
        <v>13</v>
      </c>
      <c r="K4" s="18">
        <v>9</v>
      </c>
      <c r="M4" s="10">
        <v>111.6</v>
      </c>
      <c r="N4" s="10">
        <v>103.8</v>
      </c>
      <c r="O4" s="10">
        <v>62.672174999999996</v>
      </c>
      <c r="P4" s="10">
        <f>(C24*O4)/B28</f>
        <v>62.366239415298907</v>
      </c>
      <c r="Q4" s="10">
        <f>(((A24*N4)/B27)*P4)/100</f>
        <v>64.456639429690455</v>
      </c>
      <c r="R4" s="10">
        <f>(((M4*B24)/B27)*P4)/100</f>
        <v>60.645189720346153</v>
      </c>
      <c r="S4" s="10">
        <f>(Q4-R4)+3.2</f>
        <v>7.0114497093443022</v>
      </c>
      <c r="T4" s="10">
        <f>F4-G4</f>
        <v>-1</v>
      </c>
      <c r="U4" s="10">
        <f>S4-1.036*B29</f>
        <v>-3.2359764788621908</v>
      </c>
      <c r="V4" s="10">
        <f>S4+1.036*B29</f>
        <v>17.258875897550794</v>
      </c>
    </row>
    <row r="5" spans="1:22" ht="16">
      <c r="A5" s="17">
        <v>17</v>
      </c>
      <c r="B5" s="11">
        <v>17</v>
      </c>
      <c r="C5" s="12">
        <v>46032</v>
      </c>
      <c r="D5" s="13"/>
      <c r="E5" s="11" t="s">
        <v>20</v>
      </c>
      <c r="F5" s="11">
        <v>78</v>
      </c>
      <c r="G5" s="11">
        <v>75</v>
      </c>
      <c r="H5" s="11">
        <v>53</v>
      </c>
      <c r="I5" s="11">
        <v>31</v>
      </c>
      <c r="J5" s="11">
        <v>10</v>
      </c>
      <c r="K5" s="18">
        <v>10</v>
      </c>
      <c r="M5" s="10">
        <v>114.8</v>
      </c>
      <c r="N5" s="10">
        <v>103</v>
      </c>
      <c r="O5" s="10">
        <v>70.069299999999998</v>
      </c>
      <c r="P5" s="10">
        <f>(C24*O5)/B28</f>
        <v>69.727255188804335</v>
      </c>
      <c r="Q5" s="10">
        <f>(((A24*N5)/B27)*P5)/100</f>
        <v>71.508973220787681</v>
      </c>
      <c r="R5" s="10">
        <f>(((M5*B24)/B27)*P5)/100</f>
        <v>69.747246077165897</v>
      </c>
      <c r="S5" s="10">
        <f>(Q5-R5)+3.2</f>
        <v>4.9617271436217836</v>
      </c>
      <c r="T5" s="10">
        <f>F5-G5</f>
        <v>3</v>
      </c>
      <c r="U5" s="10">
        <f>S5-1.036*B29</f>
        <v>-5.2856990445847094</v>
      </c>
      <c r="V5" s="10">
        <f>S5+1.036*B29</f>
        <v>15.209153331828276</v>
      </c>
    </row>
    <row r="6" spans="1:22" ht="14">
      <c r="A6" s="17">
        <v>18</v>
      </c>
      <c r="B6" s="11">
        <v>18</v>
      </c>
      <c r="C6" s="12">
        <v>46036</v>
      </c>
      <c r="D6" s="11" t="s">
        <v>43</v>
      </c>
      <c r="E6" s="11" t="s">
        <v>13</v>
      </c>
      <c r="F6" s="11">
        <v>76</v>
      </c>
      <c r="G6" s="11">
        <v>77</v>
      </c>
      <c r="H6" s="11">
        <v>61</v>
      </c>
      <c r="I6" s="11">
        <v>18</v>
      </c>
      <c r="J6" s="11">
        <v>11</v>
      </c>
      <c r="K6" s="18">
        <v>10</v>
      </c>
      <c r="M6" s="10">
        <v>125.9</v>
      </c>
      <c r="N6" s="10">
        <v>104.5</v>
      </c>
      <c r="O6" s="10">
        <v>70.171149999999997</v>
      </c>
      <c r="P6" s="10">
        <f>(C24*O6)/B28</f>
        <v>69.828608005815198</v>
      </c>
      <c r="Q6" s="10">
        <f>(((M6*B24)/B27)*P6)/100</f>
        <v>76.602284487595199</v>
      </c>
      <c r="R6" s="10">
        <f>(((A24*N6)/B27)*P6)/100</f>
        <v>72.655822415446153</v>
      </c>
      <c r="S6" s="10">
        <f>(Q6-R6)+3.3</f>
        <v>7.246462072149046</v>
      </c>
      <c r="T6" s="10">
        <f>G6-F6</f>
        <v>1</v>
      </c>
      <c r="U6" s="10">
        <f>S6-1.036*B29</f>
        <v>-3.000964116057447</v>
      </c>
      <c r="V6" s="10">
        <f>S6+1.036*B29</f>
        <v>17.49388826035554</v>
      </c>
    </row>
    <row r="7" spans="1:22" ht="16">
      <c r="A7" s="17">
        <v>19</v>
      </c>
      <c r="B7" s="11">
        <v>19</v>
      </c>
      <c r="C7" s="12">
        <v>46039</v>
      </c>
      <c r="D7" s="13"/>
      <c r="E7" s="11" t="s">
        <v>16</v>
      </c>
      <c r="F7" s="11">
        <v>89</v>
      </c>
      <c r="G7" s="11">
        <v>76</v>
      </c>
      <c r="H7" s="11">
        <v>53</v>
      </c>
      <c r="I7" s="11">
        <v>32</v>
      </c>
      <c r="J7" s="11">
        <v>8</v>
      </c>
      <c r="K7" s="18">
        <v>12</v>
      </c>
      <c r="M7" s="27">
        <v>113.1</v>
      </c>
      <c r="N7" s="27">
        <v>105.6</v>
      </c>
      <c r="O7" s="27">
        <v>64.468800000000002</v>
      </c>
      <c r="P7" s="10">
        <f>(C24*O7)/B28</f>
        <v>64.154094151304349</v>
      </c>
      <c r="Q7" s="10">
        <f>(((A24*N7)/B27)*P7)/100</f>
        <v>67.45420734681808</v>
      </c>
      <c r="R7" s="10">
        <f>(((M7*B24)/B27)*P7)/100</f>
        <v>63.22219776294591</v>
      </c>
      <c r="S7" s="10">
        <f>(Q7-R7)+3.2</f>
        <v>7.43200958387217</v>
      </c>
      <c r="T7" s="10">
        <f>F7-G7</f>
        <v>13</v>
      </c>
      <c r="U7" s="10">
        <f>S7-1.036*B29</f>
        <v>-2.8154166043343229</v>
      </c>
      <c r="V7" s="10">
        <f>S7+1.036*B29</f>
        <v>17.679435772078662</v>
      </c>
    </row>
    <row r="8" spans="1:22" ht="14">
      <c r="A8" s="17">
        <v>20</v>
      </c>
      <c r="B8" s="11">
        <v>20</v>
      </c>
      <c r="C8" s="12">
        <v>46043</v>
      </c>
      <c r="D8" s="11" t="s">
        <v>43</v>
      </c>
      <c r="E8" s="11" t="s">
        <v>4</v>
      </c>
      <c r="F8" s="11">
        <v>76</v>
      </c>
      <c r="G8" s="11">
        <v>74</v>
      </c>
      <c r="H8" s="11">
        <v>51</v>
      </c>
      <c r="I8" s="11">
        <v>36</v>
      </c>
      <c r="J8" s="11">
        <v>8</v>
      </c>
      <c r="K8" s="18">
        <v>10</v>
      </c>
      <c r="M8" s="27">
        <v>117.2</v>
      </c>
      <c r="N8" s="27">
        <v>104.5</v>
      </c>
      <c r="O8" s="27">
        <v>69.786749999999998</v>
      </c>
      <c r="P8" s="10">
        <f>(C24*O8)/B28</f>
        <v>69.446084462771722</v>
      </c>
      <c r="Q8" s="10">
        <f>(((M8*B24)/B27)*P8)/100</f>
        <v>70.918245500243344</v>
      </c>
      <c r="R8" s="10">
        <f>(((A24*N8)/B27)*P8)/100</f>
        <v>72.257811293546368</v>
      </c>
      <c r="S8" s="10">
        <f>(Q8-R8)+3.1</f>
        <v>1.7604342066969765</v>
      </c>
      <c r="T8" s="10">
        <f>G8-F8</f>
        <v>-2</v>
      </c>
      <c r="U8" s="10">
        <f>S8-1.036*B29</f>
        <v>-8.4869919815095169</v>
      </c>
      <c r="V8" s="10">
        <f>S8+1.036*B29</f>
        <v>12.007860394903469</v>
      </c>
    </row>
    <row r="9" spans="1:22" ht="14">
      <c r="A9" s="17">
        <v>21</v>
      </c>
      <c r="B9" s="11">
        <v>21</v>
      </c>
      <c r="C9" s="12">
        <v>46046</v>
      </c>
      <c r="D9" s="11" t="s">
        <v>43</v>
      </c>
      <c r="E9" s="11" t="s">
        <v>7</v>
      </c>
      <c r="F9" s="11">
        <v>71</v>
      </c>
      <c r="G9" s="11">
        <v>85</v>
      </c>
      <c r="H9" s="11">
        <v>62</v>
      </c>
      <c r="I9" s="11">
        <v>8</v>
      </c>
      <c r="J9" s="11">
        <v>9</v>
      </c>
      <c r="K9" s="18">
        <v>12</v>
      </c>
      <c r="M9" s="27">
        <v>122.3</v>
      </c>
      <c r="N9" s="27">
        <v>98.9</v>
      </c>
      <c r="O9" s="27">
        <v>71.274299999999997</v>
      </c>
      <c r="P9" s="10">
        <f>(C24*O9)/B28</f>
        <v>70.92637295510869</v>
      </c>
      <c r="Q9" s="10">
        <f>(((M9*B24)/B27)*P9)/100</f>
        <v>75.581727729891895</v>
      </c>
      <c r="R9" s="10">
        <f>(((A24*N9)/B27)*P9)/100</f>
        <v>69.8433064154151</v>
      </c>
      <c r="S9" s="10">
        <f>(Q9-R9)+3.5</f>
        <v>9.2384213144767955</v>
      </c>
      <c r="T9" s="10">
        <f>G9-F9</f>
        <v>14</v>
      </c>
      <c r="U9" s="10">
        <f>S9-1.036*B29</f>
        <v>-1.0090048737296975</v>
      </c>
      <c r="V9" s="10">
        <f>S9+1.036*B29</f>
        <v>19.485847502683288</v>
      </c>
    </row>
    <row r="10" spans="1:22" ht="16">
      <c r="A10" s="17">
        <v>22</v>
      </c>
      <c r="B10" s="11">
        <v>22</v>
      </c>
      <c r="C10" s="12">
        <v>46049</v>
      </c>
      <c r="D10" s="13"/>
      <c r="E10" s="11" t="s">
        <v>21</v>
      </c>
      <c r="F10" s="11">
        <v>71</v>
      </c>
      <c r="G10" s="11">
        <v>65</v>
      </c>
      <c r="H10" s="11">
        <v>65</v>
      </c>
      <c r="I10" s="11">
        <v>26</v>
      </c>
      <c r="J10" s="11">
        <v>12</v>
      </c>
      <c r="K10" s="18">
        <v>8</v>
      </c>
      <c r="M10" s="27">
        <v>109.3</v>
      </c>
      <c r="N10" s="27">
        <v>104.7</v>
      </c>
      <c r="O10" s="27">
        <v>72.415624999999991</v>
      </c>
      <c r="P10" s="10">
        <f>(C24*O10)/B28</f>
        <v>72.062126552309778</v>
      </c>
      <c r="Q10" s="10">
        <f>(((A24*N10)/B27)*P10)/100</f>
        <v>75.123273415206725</v>
      </c>
      <c r="R10" s="10">
        <f>(((M10*B24)/B27)*P10)/100</f>
        <v>68.62934323019833</v>
      </c>
      <c r="S10" s="10">
        <f>(Q10-R10)+3.2</f>
        <v>9.6939301850083943</v>
      </c>
      <c r="T10" s="10">
        <f>F10-G10</f>
        <v>6</v>
      </c>
      <c r="U10" s="10">
        <f>S10-1.036*B29</f>
        <v>-0.55349600319809866</v>
      </c>
      <c r="V10" s="10">
        <f>S10+1.036*B29</f>
        <v>19.941356373214887</v>
      </c>
    </row>
    <row r="11" spans="1:22" ht="16">
      <c r="A11" s="17">
        <v>23</v>
      </c>
      <c r="B11" s="11">
        <v>23</v>
      </c>
      <c r="C11" s="12">
        <v>46053</v>
      </c>
      <c r="D11" s="13"/>
      <c r="E11" s="11" t="s">
        <v>17</v>
      </c>
      <c r="F11" s="11">
        <v>58</v>
      </c>
      <c r="G11" s="11">
        <v>72</v>
      </c>
      <c r="H11" s="11">
        <v>55</v>
      </c>
      <c r="I11" s="11">
        <v>6</v>
      </c>
      <c r="J11" s="11">
        <v>8</v>
      </c>
      <c r="K11" s="18">
        <v>10</v>
      </c>
      <c r="M11" s="26">
        <v>126.9</v>
      </c>
      <c r="N11" s="26">
        <v>94.6</v>
      </c>
      <c r="O11" s="26">
        <v>71.7059</v>
      </c>
      <c r="P11" s="10">
        <f>(C24*O11)/B28</f>
        <v>71.355866090326074</v>
      </c>
      <c r="Q11" s="10">
        <f>(((A24*N11)/B27)*P11)/100</f>
        <v>67.211187105034611</v>
      </c>
      <c r="R11" s="10">
        <f>(((M11*B24)/B27)*P11)/100</f>
        <v>78.899438182419175</v>
      </c>
      <c r="S11" s="10">
        <f>(Q11-R11)+3.2</f>
        <v>-8.4882510773845645</v>
      </c>
      <c r="T11" s="25">
        <f>F11-G11</f>
        <v>-14</v>
      </c>
      <c r="U11" s="10">
        <f>S11-1.036*B29</f>
        <v>-18.735677265591058</v>
      </c>
      <c r="V11" s="10">
        <f>S11+1.036*B29</f>
        <v>1.7591751108219285</v>
      </c>
    </row>
    <row r="12" spans="1:22" ht="14">
      <c r="A12" s="17">
        <v>24</v>
      </c>
      <c r="B12" s="11">
        <v>24</v>
      </c>
      <c r="C12" s="12">
        <v>46060</v>
      </c>
      <c r="D12" s="11" t="s">
        <v>43</v>
      </c>
      <c r="E12" s="11" t="s">
        <v>10</v>
      </c>
      <c r="F12" s="11">
        <v>73</v>
      </c>
      <c r="G12" s="11">
        <v>82</v>
      </c>
      <c r="H12" s="11">
        <v>63</v>
      </c>
      <c r="I12" s="11">
        <v>15</v>
      </c>
      <c r="J12" s="11">
        <v>10</v>
      </c>
      <c r="K12" s="18">
        <v>14</v>
      </c>
      <c r="M12" s="26">
        <v>125.2</v>
      </c>
      <c r="N12" s="26">
        <v>100.9</v>
      </c>
      <c r="O12" s="26">
        <v>71.373625000000004</v>
      </c>
      <c r="P12" s="10">
        <f>(C24*O12)/B28</f>
        <v>71.025213097961952</v>
      </c>
      <c r="Q12" s="10">
        <f>(((M12*B24)/B27)*P12)/100</f>
        <v>77.481760707975994</v>
      </c>
      <c r="R12" s="10">
        <f>(((A24*N12)/B27)*P12)/100</f>
        <v>71.355008064134438</v>
      </c>
      <c r="S12" s="35">
        <f>(Q12-R12)+3.8</f>
        <v>9.9267526438415565</v>
      </c>
      <c r="T12" s="25" t="s">
        <v>81</v>
      </c>
      <c r="U12" s="35">
        <f>S12-1.036*B29</f>
        <v>-0.32067354436493645</v>
      </c>
      <c r="V12" s="35">
        <f>S12+1.036*B29</f>
        <v>20.17417883204805</v>
      </c>
    </row>
    <row r="13" spans="1:22" ht="14">
      <c r="A13" s="17">
        <v>25</v>
      </c>
      <c r="B13" s="11">
        <v>25</v>
      </c>
      <c r="C13" s="12">
        <v>46064</v>
      </c>
      <c r="D13" s="11" t="s">
        <v>43</v>
      </c>
      <c r="E13" s="11" t="s">
        <v>19</v>
      </c>
      <c r="F13" s="11">
        <v>76</v>
      </c>
      <c r="G13" s="11">
        <v>66</v>
      </c>
      <c r="H13" s="11">
        <v>50</v>
      </c>
      <c r="I13" s="11">
        <v>13</v>
      </c>
      <c r="J13" s="11">
        <v>3</v>
      </c>
      <c r="K13" s="18">
        <v>12</v>
      </c>
      <c r="M13" s="26">
        <v>115.4</v>
      </c>
      <c r="N13" s="26">
        <v>91.8</v>
      </c>
      <c r="O13" s="26">
        <v>65.54495</v>
      </c>
      <c r="P13" s="10">
        <f>(C24*O13)/B28</f>
        <v>65.224990901684777</v>
      </c>
      <c r="Q13" s="10">
        <f>(((M13*B24)/B27)*P13)/100</f>
        <v>65.584685886052796</v>
      </c>
      <c r="R13" s="10">
        <f>(((A24*N13)/B27)*P13)/100</f>
        <v>59.618007357385025</v>
      </c>
      <c r="S13" s="35">
        <f>(Q13-R13)+4</f>
        <v>9.9666785286677708</v>
      </c>
      <c r="T13" s="25" t="s">
        <v>81</v>
      </c>
      <c r="U13" s="35">
        <f>S13-1.036*B29</f>
        <v>-0.28074765953872216</v>
      </c>
      <c r="V13" s="35">
        <f>S13+1.036*B29</f>
        <v>20.214104716874264</v>
      </c>
    </row>
    <row r="14" spans="1:22" ht="16">
      <c r="A14" s="17">
        <v>26</v>
      </c>
      <c r="B14" s="11">
        <v>26</v>
      </c>
      <c r="C14" s="12">
        <v>46067</v>
      </c>
      <c r="D14" s="13"/>
      <c r="E14" s="11" t="s">
        <v>15</v>
      </c>
      <c r="F14" s="11">
        <v>69</v>
      </c>
      <c r="G14" s="11">
        <v>92</v>
      </c>
      <c r="H14" s="11">
        <v>55</v>
      </c>
      <c r="I14" s="11">
        <v>15</v>
      </c>
      <c r="J14" s="11">
        <v>7</v>
      </c>
      <c r="K14" s="18">
        <v>9</v>
      </c>
      <c r="M14" s="26">
        <v>116.5</v>
      </c>
      <c r="N14" s="26">
        <v>104.7</v>
      </c>
      <c r="O14" s="26">
        <v>71.247624999999999</v>
      </c>
      <c r="P14" s="10">
        <f>(C24*O14)/B28</f>
        <v>70.899828169701081</v>
      </c>
      <c r="Q14" s="10">
        <f>(((A24*N14)/B27)*P14)/100</f>
        <v>73.911601440422814</v>
      </c>
      <c r="R14" s="10">
        <f>(((M14*B24)/B27)*P14)/100</f>
        <v>71.970366594180561</v>
      </c>
      <c r="S14" s="35">
        <f>(Q14-R14)+3.2</f>
        <v>5.141234846242253</v>
      </c>
      <c r="T14" s="25" t="s">
        <v>81</v>
      </c>
      <c r="U14" s="35">
        <f>S14-1.036*B29</f>
        <v>-5.10619134196424</v>
      </c>
      <c r="V14" s="35">
        <f>S14+1.036*B29</f>
        <v>15.388661034448745</v>
      </c>
    </row>
    <row r="15" spans="1:22" ht="14">
      <c r="A15" s="17">
        <v>27</v>
      </c>
      <c r="B15" s="11">
        <v>27</v>
      </c>
      <c r="C15" s="12">
        <v>46070</v>
      </c>
      <c r="D15" s="11" t="s">
        <v>43</v>
      </c>
      <c r="E15" s="11" t="s">
        <v>46</v>
      </c>
      <c r="F15" s="11">
        <v>66</v>
      </c>
      <c r="G15" s="11">
        <v>67</v>
      </c>
      <c r="H15" s="11">
        <v>56</v>
      </c>
      <c r="I15" s="11">
        <v>3</v>
      </c>
      <c r="J15" s="11">
        <v>7</v>
      </c>
      <c r="K15" s="18">
        <v>8</v>
      </c>
      <c r="M15" s="26">
        <v>119.4</v>
      </c>
      <c r="N15" s="26">
        <v>104.2</v>
      </c>
      <c r="O15" s="26">
        <v>68.519300000000001</v>
      </c>
      <c r="P15" s="10">
        <f>(C24*O15)/B28</f>
        <v>68.184821547499993</v>
      </c>
      <c r="Q15" s="10">
        <f>(((M15*B24)/B27)*P15)/100</f>
        <v>70.937297944787943</v>
      </c>
      <c r="R15" s="10">
        <f>(((A24*N15)/B27)*P15)/100</f>
        <v>70.741811237069712</v>
      </c>
      <c r="S15" s="35">
        <f>(Q15-R15)+3.5</f>
        <v>3.6954867077182314</v>
      </c>
      <c r="T15" s="25" t="s">
        <v>81</v>
      </c>
      <c r="U15" s="35">
        <f>S15-1.036*B29</f>
        <v>-6.5519394804882616</v>
      </c>
      <c r="V15" s="35">
        <f>S15+1.036*B29</f>
        <v>13.942912895924724</v>
      </c>
    </row>
    <row r="16" spans="1:22" ht="16">
      <c r="A16" s="17">
        <v>28</v>
      </c>
      <c r="B16" s="11">
        <v>28</v>
      </c>
      <c r="C16" s="12">
        <v>46074</v>
      </c>
      <c r="D16" s="13"/>
      <c r="E16" s="11" t="s">
        <v>8</v>
      </c>
      <c r="F16" s="11">
        <v>82</v>
      </c>
      <c r="G16" s="11">
        <v>63</v>
      </c>
      <c r="H16" s="11">
        <v>61</v>
      </c>
      <c r="I16" s="11">
        <v>16</v>
      </c>
      <c r="J16" s="11">
        <v>12</v>
      </c>
      <c r="K16" s="18">
        <v>4</v>
      </c>
      <c r="M16" s="26">
        <v>114.7</v>
      </c>
      <c r="N16" s="26">
        <v>105.6</v>
      </c>
      <c r="O16" s="26">
        <v>70.806899999999999</v>
      </c>
      <c r="P16" s="10">
        <f>(C24*O16)/B28</f>
        <v>70.461254578369562</v>
      </c>
      <c r="Q16" s="10">
        <f>(((A24*N16)/B27)*P16)/100</f>
        <v>74.085810720618539</v>
      </c>
      <c r="R16" s="10">
        <f>(((M16*B24)/B27)*P16)/100</f>
        <v>70.42006090881037</v>
      </c>
      <c r="S16" s="35">
        <f>(Q16-R16)+3.2</f>
        <v>6.8657498118081692</v>
      </c>
      <c r="T16" s="25" t="s">
        <v>81</v>
      </c>
      <c r="U16" s="35">
        <f>S16-1.036*B29</f>
        <v>-3.3816763763983237</v>
      </c>
      <c r="V16" s="35">
        <f>S16+1.036*B29</f>
        <v>17.113176000014661</v>
      </c>
    </row>
    <row r="17" spans="1:22" ht="16">
      <c r="A17" s="17">
        <v>29</v>
      </c>
      <c r="B17" s="13"/>
      <c r="C17" s="12">
        <v>46081</v>
      </c>
      <c r="D17" s="11" t="s">
        <v>43</v>
      </c>
      <c r="E17" s="11" t="s">
        <v>18</v>
      </c>
      <c r="F17" s="13"/>
      <c r="G17" s="13"/>
      <c r="H17" s="13"/>
      <c r="I17" s="13"/>
      <c r="J17" s="13"/>
      <c r="K17" s="19"/>
      <c r="M17" s="26">
        <v>121.9</v>
      </c>
      <c r="N17" s="26">
        <v>101.3</v>
      </c>
      <c r="O17" s="26">
        <v>67.448224999999994</v>
      </c>
      <c r="P17" s="10">
        <f>(C25*O17)/B28</f>
        <v>67.092117922210136</v>
      </c>
      <c r="Q17" s="10">
        <f>(((M17*B25)/B27)*P17)/100</f>
        <v>72.745121329524522</v>
      </c>
      <c r="R17" s="10">
        <f>(((A25*N17)/B27)*P17)/100</f>
        <v>69.607666778813339</v>
      </c>
      <c r="S17" s="41">
        <f>(Q17-R17)+3.7</f>
        <v>6.8374545507111835</v>
      </c>
      <c r="T17" s="25" t="s">
        <v>81</v>
      </c>
      <c r="U17" s="41">
        <f>S17-1.036*B29</f>
        <v>-3.4099716374953095</v>
      </c>
      <c r="V17" s="41">
        <f>S17+1.036*B29</f>
        <v>17.084880738917676</v>
      </c>
    </row>
    <row r="18" spans="1:22" ht="16">
      <c r="A18" s="17">
        <v>30</v>
      </c>
      <c r="B18" s="13"/>
      <c r="C18" s="12">
        <v>46084</v>
      </c>
      <c r="D18" s="13"/>
      <c r="E18" s="11" t="s">
        <v>12</v>
      </c>
      <c r="F18" s="13"/>
      <c r="G18" s="13"/>
      <c r="H18" s="13"/>
      <c r="I18" s="13"/>
      <c r="J18" s="13"/>
      <c r="K18" s="19"/>
      <c r="M18" s="26">
        <v>108.3</v>
      </c>
      <c r="N18" s="26">
        <v>103.3</v>
      </c>
      <c r="O18" s="26">
        <v>69.715424999999996</v>
      </c>
      <c r="P18" s="10">
        <f>(C25*O18)/B28</f>
        <v>69.347347763369569</v>
      </c>
      <c r="Q18" s="10">
        <f>(((A25*N18)/B27)*P18)/100</f>
        <v>73.367936912019914</v>
      </c>
      <c r="R18" s="10">
        <f>(((M18*B25)/B27)*P18)/100</f>
        <v>66.801617406356755</v>
      </c>
      <c r="S18" s="41">
        <f>(Q18-R18)+3.2</f>
        <v>9.7663195056631587</v>
      </c>
      <c r="T18" s="25" t="s">
        <v>81</v>
      </c>
      <c r="U18" s="41">
        <f>S18-1.036*B29</f>
        <v>-0.48110668254333433</v>
      </c>
      <c r="V18" s="41">
        <f>S18+1.036*B29</f>
        <v>20.013745693869652</v>
      </c>
    </row>
    <row r="19" spans="1:22" ht="16">
      <c r="A19" s="20">
        <v>31</v>
      </c>
      <c r="B19" s="21"/>
      <c r="C19" s="22">
        <v>46088</v>
      </c>
      <c r="D19" s="23" t="s">
        <v>43</v>
      </c>
      <c r="E19" s="23" t="s">
        <v>5</v>
      </c>
      <c r="F19" s="21"/>
      <c r="G19" s="21"/>
      <c r="H19" s="21"/>
      <c r="I19" s="21"/>
      <c r="J19" s="21"/>
      <c r="K19" s="24"/>
      <c r="M19" s="26">
        <v>119.6</v>
      </c>
      <c r="N19" s="26">
        <v>97.6</v>
      </c>
      <c r="O19" s="26">
        <v>66.888849999999991</v>
      </c>
      <c r="P19" s="10">
        <f>(C25*O19)/B28</f>
        <v>66.535696260072456</v>
      </c>
      <c r="Q19" s="10">
        <f>(((M19*B25)/B27)*P19)/100</f>
        <v>70.780650698495734</v>
      </c>
      <c r="R19" s="10">
        <f>(((A25*N19)/B27)*P19)/100</f>
        <v>66.509036015629732</v>
      </c>
      <c r="S19" s="41">
        <f>(Q19-R19)+3.8</f>
        <v>8.0716146828660023</v>
      </c>
      <c r="T19" s="25" t="s">
        <v>81</v>
      </c>
      <c r="U19" s="41">
        <f>S19-1.036*B29</f>
        <v>-2.1758115053404907</v>
      </c>
      <c r="V19" s="41">
        <f>S19+1.036*B29</f>
        <v>18.319040871072495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56.384</v>
      </c>
      <c r="I21" s="34">
        <v>26.693000000000001</v>
      </c>
      <c r="J21" s="34">
        <v>11.044</v>
      </c>
      <c r="K21" s="34">
        <v>10.644</v>
      </c>
      <c r="M21" s="32" t="s">
        <v>82</v>
      </c>
    </row>
    <row r="22" spans="1:22">
      <c r="F22" s="26"/>
      <c r="G22" s="26"/>
      <c r="H22" s="34">
        <v>58.877000000000002</v>
      </c>
      <c r="I22" s="34">
        <v>13.412000000000001</v>
      </c>
      <c r="J22" s="34">
        <v>8.2539999999999996</v>
      </c>
      <c r="K22" s="38">
        <v>11.641999999999999</v>
      </c>
      <c r="M22" s="30">
        <f>(T2-S2)^2</f>
        <v>214.07131592821321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1" si="0">(T3-S3)^2</f>
        <v>19.059771419303065</v>
      </c>
    </row>
    <row r="24" spans="1:22">
      <c r="A24" s="7">
        <v>115.3</v>
      </c>
      <c r="B24">
        <v>100.9</v>
      </c>
      <c r="C24">
        <f>H21-J21+K21+(0.475*I21)</f>
        <v>68.663174999999995</v>
      </c>
      <c r="F24" s="26"/>
      <c r="G24" s="26"/>
      <c r="H24" s="26"/>
      <c r="I24" s="26"/>
      <c r="J24" s="26"/>
      <c r="K24" s="26"/>
      <c r="M24" s="30">
        <f t="shared" si="0"/>
        <v>64.18332644535289</v>
      </c>
    </row>
    <row r="25" spans="1:22">
      <c r="A25" s="7">
        <v>118.6</v>
      </c>
      <c r="B25">
        <v>103</v>
      </c>
      <c r="C25">
        <f>H22-J22+K22+(0.475*I22)</f>
        <v>68.6357</v>
      </c>
      <c r="F25" s="26"/>
      <c r="G25" s="26"/>
      <c r="H25" s="26"/>
      <c r="I25" s="26"/>
      <c r="J25" s="26"/>
      <c r="K25" s="26"/>
      <c r="M25" s="30">
        <f t="shared" si="0"/>
        <v>3.848373386022482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39.018288418796551</v>
      </c>
    </row>
    <row r="27" spans="1:22">
      <c r="A27" s="7" t="s">
        <v>78</v>
      </c>
      <c r="B27" s="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31.002517274091364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14.140865422896718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22.672631578428888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13.645120211716151</v>
      </c>
    </row>
    <row r="31" spans="1:22">
      <c r="F31" s="26"/>
      <c r="G31" s="26"/>
      <c r="H31" s="26"/>
      <c r="I31" s="26"/>
      <c r="J31" s="26"/>
      <c r="K31" s="26"/>
      <c r="M31" s="31">
        <f t="shared" si="0"/>
        <v>30.379376185952413</v>
      </c>
    </row>
    <row r="32" spans="1:22">
      <c r="L32" s="33" t="s">
        <v>83</v>
      </c>
      <c r="M32" s="29">
        <f>SUM(M22:M31)</f>
        <v>452.02158627077375</v>
      </c>
    </row>
  </sheetData>
  <mergeCells count="1">
    <mergeCell ref="A21:B2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948-CD6B-0140-8555-F35716A3C586}">
  <dimension ref="A1:V31"/>
  <sheetViews>
    <sheetView zoomScale="117" workbookViewId="0">
      <pane xSplit="5" topLeftCell="K1" activePane="topRight" state="frozen"/>
      <selection pane="topRight" activeCell="G26" sqref="G26"/>
    </sheetView>
  </sheetViews>
  <sheetFormatPr baseColWidth="10" defaultRowHeight="13"/>
  <cols>
    <col min="13" max="13" width="11.6640625" bestFit="1" customWidth="1"/>
  </cols>
  <sheetData>
    <row r="1" spans="1:22" ht="30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72</v>
      </c>
      <c r="G1" s="15" t="s">
        <v>38</v>
      </c>
      <c r="H1" s="15" t="s">
        <v>39</v>
      </c>
      <c r="I1" s="15" t="s">
        <v>40</v>
      </c>
      <c r="J1" s="15" t="s">
        <v>41</v>
      </c>
      <c r="K1" s="16" t="s">
        <v>42</v>
      </c>
      <c r="M1" s="28" t="s">
        <v>74</v>
      </c>
      <c r="N1" s="28" t="s">
        <v>75</v>
      </c>
      <c r="O1" s="28" t="s">
        <v>76</v>
      </c>
      <c r="P1" s="28" t="s">
        <v>77</v>
      </c>
      <c r="Q1" s="28" t="s">
        <v>86</v>
      </c>
      <c r="R1" s="28" t="s">
        <v>87</v>
      </c>
      <c r="S1" s="28" t="s">
        <v>73</v>
      </c>
      <c r="T1" s="28" t="s">
        <v>80</v>
      </c>
      <c r="U1" s="28" t="s">
        <v>96</v>
      </c>
      <c r="V1" s="28" t="s">
        <v>97</v>
      </c>
    </row>
    <row r="2" spans="1:22" ht="14">
      <c r="A2" s="17">
        <v>14</v>
      </c>
      <c r="B2" s="11">
        <v>14</v>
      </c>
      <c r="C2" s="12">
        <v>46022</v>
      </c>
      <c r="D2" s="11" t="s">
        <v>43</v>
      </c>
      <c r="E2" s="11" t="s">
        <v>10</v>
      </c>
      <c r="F2" s="11">
        <v>57</v>
      </c>
      <c r="G2" s="11">
        <v>70</v>
      </c>
      <c r="H2" s="11">
        <v>59</v>
      </c>
      <c r="I2" s="11">
        <v>13</v>
      </c>
      <c r="J2" s="11">
        <v>9</v>
      </c>
      <c r="K2" s="18">
        <v>15</v>
      </c>
      <c r="M2" s="10">
        <v>125.2</v>
      </c>
      <c r="N2" s="26">
        <v>100.9</v>
      </c>
      <c r="O2" s="10">
        <v>71.373625000000004</v>
      </c>
      <c r="P2" s="10">
        <f>(C24*O2)/B28</f>
        <v>73.242683014673915</v>
      </c>
      <c r="Q2" s="10">
        <f>(((M2*B24)/B27)*P2)/100</f>
        <v>83.622651231344165</v>
      </c>
      <c r="R2" s="10">
        <f>(((A24*N2)/B27)*P2)/100</f>
        <v>73.199863242306961</v>
      </c>
      <c r="S2" s="10">
        <f>(Q2-R2)+3.8</f>
        <v>14.222787989037204</v>
      </c>
      <c r="T2" s="10">
        <f>G2-F2</f>
        <v>13</v>
      </c>
      <c r="U2" s="10">
        <f>S2-1.036*B29</f>
        <v>3.9753618008307114</v>
      </c>
      <c r="V2" s="10">
        <f>S2+1.036*B29</f>
        <v>24.470214177243697</v>
      </c>
    </row>
    <row r="3" spans="1:22" ht="16">
      <c r="A3" s="17">
        <v>15</v>
      </c>
      <c r="B3" s="11">
        <v>15</v>
      </c>
      <c r="C3" s="12">
        <v>46025</v>
      </c>
      <c r="D3" s="13"/>
      <c r="E3" s="11" t="s">
        <v>9</v>
      </c>
      <c r="F3" s="11">
        <v>81</v>
      </c>
      <c r="G3" s="11">
        <v>78</v>
      </c>
      <c r="H3" s="11">
        <v>67</v>
      </c>
      <c r="I3" s="11">
        <v>16</v>
      </c>
      <c r="J3" s="11">
        <v>11</v>
      </c>
      <c r="K3" s="18">
        <v>10</v>
      </c>
      <c r="M3" s="10">
        <v>115.3</v>
      </c>
      <c r="N3" s="10">
        <v>100.9</v>
      </c>
      <c r="O3" s="10">
        <v>68.663174999999995</v>
      </c>
      <c r="P3" s="10">
        <f>(C24*O3)/B28</f>
        <v>70.461254578369562</v>
      </c>
      <c r="Q3" s="10">
        <f>(((A24*N3)/B27)*P3)/100</f>
        <v>70.42006090881037</v>
      </c>
      <c r="R3" s="10">
        <f>(((M3*B24)/B27)*P3)/100</f>
        <v>74.085810720618539</v>
      </c>
      <c r="S3" s="10">
        <f>(Q3-R3)+2.3</f>
        <v>-1.3657498118081692</v>
      </c>
      <c r="T3" s="10">
        <f>F3-G3</f>
        <v>3</v>
      </c>
      <c r="U3" s="10">
        <f>S3-1.036*B29</f>
        <v>-11.613176000014661</v>
      </c>
      <c r="V3" s="10">
        <f>S3+1.036*B29</f>
        <v>8.8816763763983246</v>
      </c>
    </row>
    <row r="4" spans="1:22" ht="16">
      <c r="A4" s="17">
        <v>16</v>
      </c>
      <c r="B4" s="11">
        <v>16</v>
      </c>
      <c r="C4" s="12">
        <v>46029</v>
      </c>
      <c r="D4" s="13"/>
      <c r="E4" s="11" t="s">
        <v>46</v>
      </c>
      <c r="F4" s="11">
        <v>77</v>
      </c>
      <c r="G4" s="11">
        <v>81</v>
      </c>
      <c r="H4" s="11">
        <v>54</v>
      </c>
      <c r="I4" s="11">
        <v>14</v>
      </c>
      <c r="J4" s="11">
        <v>4</v>
      </c>
      <c r="K4" s="18">
        <v>12</v>
      </c>
      <c r="M4" s="10">
        <v>119.4</v>
      </c>
      <c r="N4" s="10">
        <v>104.2</v>
      </c>
      <c r="O4" s="10">
        <v>68.519300000000001</v>
      </c>
      <c r="P4" s="10">
        <f>(C24*O4)/B28</f>
        <v>70.313611930000008</v>
      </c>
      <c r="Q4" s="10">
        <f>(((A24*N4)/B27)*P4)/100</f>
        <v>72.570812456671703</v>
      </c>
      <c r="R4" s="10">
        <f>(((M4*B24)/B27)*P4)/100</f>
        <v>76.559500857087684</v>
      </c>
      <c r="S4" s="10">
        <f>(Q4-R4)+2.3</f>
        <v>-1.6886884004159812</v>
      </c>
      <c r="T4" s="10">
        <f>F4-G4</f>
        <v>-4</v>
      </c>
      <c r="U4" s="10">
        <f>S4-1.036*B29</f>
        <v>-11.936114588622473</v>
      </c>
      <c r="V4" s="10">
        <f>S4+1.036*B29</f>
        <v>8.5587377877905126</v>
      </c>
    </row>
    <row r="5" spans="1:22" ht="14">
      <c r="A5" s="17">
        <v>17</v>
      </c>
      <c r="B5" s="11">
        <v>17</v>
      </c>
      <c r="C5" s="12">
        <v>46032</v>
      </c>
      <c r="D5" s="11" t="s">
        <v>43</v>
      </c>
      <c r="E5" s="11" t="s">
        <v>18</v>
      </c>
      <c r="F5" s="11">
        <v>84</v>
      </c>
      <c r="G5" s="11">
        <v>87</v>
      </c>
      <c r="H5" s="11">
        <v>64</v>
      </c>
      <c r="I5" s="11">
        <v>11</v>
      </c>
      <c r="J5" s="11">
        <v>7</v>
      </c>
      <c r="K5" s="18">
        <v>13</v>
      </c>
      <c r="M5" s="10">
        <v>128.80000000000001</v>
      </c>
      <c r="N5" s="10">
        <v>107</v>
      </c>
      <c r="O5" s="10">
        <v>71.825850000000003</v>
      </c>
      <c r="P5" s="10">
        <f>(C24*O5)/B28</f>
        <v>73.706750411086958</v>
      </c>
      <c r="Q5" s="10">
        <f>(((M5*B24)/B27)*P5)/100</f>
        <v>86.572206410303011</v>
      </c>
      <c r="R5" s="10">
        <f>(((A24*N5)/B27)*P5)/100</f>
        <v>78.117061927480933</v>
      </c>
      <c r="S5" s="10">
        <f>(Q5-R5)+3.7</f>
        <v>12.155144482822077</v>
      </c>
      <c r="T5" s="10">
        <f>G5-F5</f>
        <v>3</v>
      </c>
      <c r="U5" s="10">
        <f>S5-1.036*B29</f>
        <v>1.9077182946155844</v>
      </c>
      <c r="V5" s="10">
        <f>S5+1.036*B29</f>
        <v>22.40257067102857</v>
      </c>
    </row>
    <row r="6" spans="1:22" ht="14">
      <c r="A6" s="17">
        <v>18</v>
      </c>
      <c r="B6" s="11">
        <v>18</v>
      </c>
      <c r="C6" s="12">
        <v>46039</v>
      </c>
      <c r="D6" s="11" t="s">
        <v>43</v>
      </c>
      <c r="E6" s="11" t="s">
        <v>15</v>
      </c>
      <c r="F6" s="11">
        <v>69</v>
      </c>
      <c r="G6" s="11">
        <v>68</v>
      </c>
      <c r="H6" s="11">
        <v>63</v>
      </c>
      <c r="I6" s="11">
        <v>12</v>
      </c>
      <c r="J6" s="11">
        <v>8</v>
      </c>
      <c r="K6" s="18">
        <v>5</v>
      </c>
      <c r="M6" s="10">
        <v>116.5</v>
      </c>
      <c r="N6" s="10">
        <v>104.7</v>
      </c>
      <c r="O6" s="10">
        <v>71.247624999999999</v>
      </c>
      <c r="P6" s="10">
        <f>(C24*O6)/B28</f>
        <v>73.113383458152171</v>
      </c>
      <c r="Q6" s="10">
        <f>(((M6*B24)/B27)*P6)/100</f>
        <v>77.674446343313576</v>
      </c>
      <c r="R6" s="10">
        <f>(((A24*N6)/B27)*P6)/100</f>
        <v>75.822556317224596</v>
      </c>
      <c r="S6" s="10">
        <f>(Q6-R6)+2.6</f>
        <v>4.4518900260889804</v>
      </c>
      <c r="T6" s="10">
        <f>G6-F6</f>
        <v>-1</v>
      </c>
      <c r="U6" s="10">
        <f>S6-1.036*B29</f>
        <v>-5.7955361621175125</v>
      </c>
      <c r="V6" s="10">
        <f>S6+1.036*B29</f>
        <v>14.699316214295473</v>
      </c>
    </row>
    <row r="7" spans="1:22" ht="16">
      <c r="A7" s="17">
        <v>19</v>
      </c>
      <c r="B7" s="11">
        <v>19</v>
      </c>
      <c r="C7" s="12">
        <v>46042</v>
      </c>
      <c r="D7" s="13"/>
      <c r="E7" s="11" t="s">
        <v>13</v>
      </c>
      <c r="F7" s="11">
        <v>79</v>
      </c>
      <c r="G7" s="11">
        <v>91</v>
      </c>
      <c r="H7" s="11">
        <v>64</v>
      </c>
      <c r="I7" s="11">
        <v>18</v>
      </c>
      <c r="J7" s="11">
        <v>6</v>
      </c>
      <c r="K7" s="18">
        <v>11</v>
      </c>
      <c r="M7" s="27">
        <v>125.9</v>
      </c>
      <c r="N7" s="27">
        <v>104.5</v>
      </c>
      <c r="O7" s="27">
        <v>70.171149999999997</v>
      </c>
      <c r="P7" s="10">
        <f>(C24*O7)/B28</f>
        <v>72.008718854130436</v>
      </c>
      <c r="Q7" s="10">
        <f>(((A24*N7)/B27)*P7)/100</f>
        <v>74.534309628103244</v>
      </c>
      <c r="R7" s="10">
        <f>(((M7*B24)/B27)*P7)/100</f>
        <v>82.673471287946299</v>
      </c>
      <c r="S7" s="10">
        <f>(Q7-R7)+2.3</f>
        <v>-5.8391616598430547</v>
      </c>
      <c r="T7" s="10">
        <f>F7-G7</f>
        <v>-12</v>
      </c>
      <c r="U7" s="10">
        <f>S7-1.036*B29</f>
        <v>-16.086587848049547</v>
      </c>
      <c r="V7" s="10">
        <f>S7+1.036*B29</f>
        <v>4.4082645283634383</v>
      </c>
    </row>
    <row r="8" spans="1:22" ht="14">
      <c r="A8" s="17">
        <v>20</v>
      </c>
      <c r="B8" s="11">
        <v>20</v>
      </c>
      <c r="C8" s="12">
        <v>46046</v>
      </c>
      <c r="D8" s="11" t="s">
        <v>43</v>
      </c>
      <c r="E8" s="11" t="s">
        <v>17</v>
      </c>
      <c r="F8" s="11">
        <v>69</v>
      </c>
      <c r="G8" s="11">
        <v>90</v>
      </c>
      <c r="H8" s="11">
        <v>54</v>
      </c>
      <c r="I8" s="11">
        <v>13</v>
      </c>
      <c r="J8" s="11">
        <v>4</v>
      </c>
      <c r="K8" s="18">
        <v>9</v>
      </c>
      <c r="M8" s="27">
        <v>126.9</v>
      </c>
      <c r="N8" s="27">
        <v>94.6</v>
      </c>
      <c r="O8" s="27">
        <v>71.7059</v>
      </c>
      <c r="P8" s="10">
        <f>(C24*O8)/B28</f>
        <v>73.583659285652175</v>
      </c>
      <c r="Q8" s="10">
        <f>(((M8*B24)/B27)*P8)/100</f>
        <v>85.152688080283411</v>
      </c>
      <c r="R8" s="10">
        <f>(((A24*N8)/B27)*P8)/100</f>
        <v>68.948905450611662</v>
      </c>
      <c r="S8" s="10">
        <f>(Q8-R8)+4.5</f>
        <v>20.70378262967175</v>
      </c>
      <c r="T8" s="10">
        <f>G8-F8</f>
        <v>21</v>
      </c>
      <c r="U8" s="10">
        <f>S8-1.036*B29</f>
        <v>10.456356441465257</v>
      </c>
      <c r="V8" s="10">
        <f>S8+1.036*B29</f>
        <v>30.951208817878243</v>
      </c>
    </row>
    <row r="9" spans="1:22" ht="14">
      <c r="A9" s="17">
        <v>21</v>
      </c>
      <c r="B9" s="11">
        <v>21</v>
      </c>
      <c r="C9" s="12">
        <v>46049</v>
      </c>
      <c r="D9" s="11" t="s">
        <v>43</v>
      </c>
      <c r="E9" s="11" t="s">
        <v>48</v>
      </c>
      <c r="F9" s="11">
        <v>76</v>
      </c>
      <c r="G9" s="11">
        <v>80</v>
      </c>
      <c r="H9" s="11">
        <v>59</v>
      </c>
      <c r="I9" s="11">
        <v>19</v>
      </c>
      <c r="J9" s="11">
        <v>7</v>
      </c>
      <c r="K9" s="18">
        <v>13</v>
      </c>
      <c r="M9" s="27">
        <v>111.6</v>
      </c>
      <c r="N9" s="27">
        <v>107.1</v>
      </c>
      <c r="O9" s="27">
        <v>66.7727</v>
      </c>
      <c r="P9" s="10">
        <f>(C24*O9)/B28</f>
        <v>68.521273791739134</v>
      </c>
      <c r="Q9" s="10">
        <f>(((M9*B24)/B27)*P9)/100</f>
        <v>69.73406483460225</v>
      </c>
      <c r="R9" s="10">
        <f>(((A24*N9)/B27)*P9)/100</f>
        <v>72.689177904061012</v>
      </c>
      <c r="S9" s="10">
        <f>(Q9-R9)+2.7</f>
        <v>-0.25511306945876111</v>
      </c>
      <c r="T9" s="10">
        <f>G9-F9</f>
        <v>4</v>
      </c>
      <c r="U9" s="10">
        <f>S9-1.036*B29</f>
        <v>-10.502539257665255</v>
      </c>
      <c r="V9" s="10">
        <f>S9+1.036*B29</f>
        <v>9.992313118747731</v>
      </c>
    </row>
    <row r="10" spans="1:22" ht="16">
      <c r="A10" s="17">
        <v>22</v>
      </c>
      <c r="B10" s="11">
        <v>22</v>
      </c>
      <c r="C10" s="12">
        <v>46053</v>
      </c>
      <c r="D10" s="13"/>
      <c r="E10" s="11" t="s">
        <v>10</v>
      </c>
      <c r="F10" s="11">
        <v>78</v>
      </c>
      <c r="G10" s="11">
        <v>96</v>
      </c>
      <c r="H10" s="11">
        <v>53</v>
      </c>
      <c r="I10" s="11">
        <v>24</v>
      </c>
      <c r="J10" s="11">
        <v>5</v>
      </c>
      <c r="K10" s="18">
        <v>8</v>
      </c>
      <c r="M10" s="27">
        <v>125.2</v>
      </c>
      <c r="N10" s="27">
        <v>100.9</v>
      </c>
      <c r="O10" s="27">
        <v>71.373625000000004</v>
      </c>
      <c r="P10" s="10">
        <f>(C24*O10)/B28</f>
        <v>73.242683014673915</v>
      </c>
      <c r="Q10" s="10">
        <f>(((A24*N10)/B27)*P10)/100</f>
        <v>73.199863242306961</v>
      </c>
      <c r="R10" s="10">
        <f>(((M10*B24)/B27)*P10)/100</f>
        <v>83.622651231344165</v>
      </c>
      <c r="S10" s="10">
        <f>(Q10-R10)+2.3</f>
        <v>-8.122787989037203</v>
      </c>
      <c r="T10" s="10">
        <f>F10-G10</f>
        <v>-18</v>
      </c>
      <c r="U10" s="10">
        <f>S10-1.036*B29</f>
        <v>-18.370214177243696</v>
      </c>
      <c r="V10" s="10">
        <f>S10+1.036*B29</f>
        <v>2.12463819916929</v>
      </c>
    </row>
    <row r="11" spans="1:22" ht="16">
      <c r="A11" s="17">
        <v>23</v>
      </c>
      <c r="B11" s="11">
        <v>23</v>
      </c>
      <c r="C11" s="12">
        <v>46060</v>
      </c>
      <c r="D11" s="13"/>
      <c r="E11" s="11" t="s">
        <v>7</v>
      </c>
      <c r="F11" s="11">
        <v>80</v>
      </c>
      <c r="G11" s="11">
        <v>88</v>
      </c>
      <c r="H11" s="11">
        <v>63</v>
      </c>
      <c r="I11" s="11">
        <v>25</v>
      </c>
      <c r="J11" s="11">
        <v>9</v>
      </c>
      <c r="K11" s="18">
        <v>6</v>
      </c>
      <c r="M11" s="26">
        <v>122.3</v>
      </c>
      <c r="N11" s="26">
        <v>98.9</v>
      </c>
      <c r="O11" s="26">
        <v>71.274299999999997</v>
      </c>
      <c r="P11" s="10">
        <f>(C24*O11)/B28</f>
        <v>73.140756995217387</v>
      </c>
      <c r="Q11" s="10">
        <f>(((A24*N11)/B27)*P11)/100</f>
        <v>71.649077152422876</v>
      </c>
      <c r="R11" s="10">
        <f>(((M11*B24)/B27)*P11)/100</f>
        <v>81.572029335267104</v>
      </c>
      <c r="S11" s="35">
        <f>(Q11-R11)+2.3</f>
        <v>-7.6229521828442275</v>
      </c>
      <c r="T11" s="25" t="s">
        <v>81</v>
      </c>
      <c r="U11" s="35">
        <f>S11-1.036*B29</f>
        <v>-17.87037837105072</v>
      </c>
      <c r="V11" s="35">
        <f>S11+1.036*B29</f>
        <v>2.6244740053622655</v>
      </c>
    </row>
    <row r="12" spans="1:22" ht="14">
      <c r="A12" s="17">
        <v>24</v>
      </c>
      <c r="B12" s="11">
        <v>24</v>
      </c>
      <c r="C12" s="12">
        <v>46064</v>
      </c>
      <c r="D12" s="11" t="s">
        <v>43</v>
      </c>
      <c r="E12" s="11" t="s">
        <v>21</v>
      </c>
      <c r="F12" s="11">
        <v>83</v>
      </c>
      <c r="G12" s="11">
        <v>67</v>
      </c>
      <c r="H12" s="11">
        <v>53</v>
      </c>
      <c r="I12" s="11">
        <v>22</v>
      </c>
      <c r="J12" s="11">
        <v>5</v>
      </c>
      <c r="K12" s="18">
        <v>9</v>
      </c>
      <c r="M12" s="26">
        <v>109.3</v>
      </c>
      <c r="N12" s="26">
        <v>104.7</v>
      </c>
      <c r="O12" s="26">
        <v>72.415624999999991</v>
      </c>
      <c r="P12" s="10">
        <f>(C24*O12)/B28</f>
        <v>74.311969823369566</v>
      </c>
      <c r="Q12" s="10">
        <f>(((M12*B24)/B27)*P12)/100</f>
        <v>74.068626999906513</v>
      </c>
      <c r="R12" s="10">
        <f>(((A24*N12)/B27)*P12)/100</f>
        <v>77.065555586021532</v>
      </c>
      <c r="S12" s="35">
        <f>(Q12-R12)+2.4</f>
        <v>-0.59692858611501842</v>
      </c>
      <c r="T12" s="25" t="s">
        <v>81</v>
      </c>
      <c r="U12" s="35">
        <f>S12-1.036*B29</f>
        <v>-10.844354774321511</v>
      </c>
      <c r="V12" s="35">
        <f>S12+1.036*B29</f>
        <v>9.650497602091475</v>
      </c>
    </row>
    <row r="13" spans="1:22" ht="16">
      <c r="A13" s="17">
        <v>25</v>
      </c>
      <c r="B13" s="11">
        <v>25</v>
      </c>
      <c r="C13" s="12">
        <v>46067</v>
      </c>
      <c r="D13" s="13"/>
      <c r="E13" s="11" t="s">
        <v>22</v>
      </c>
      <c r="F13" s="11">
        <v>68</v>
      </c>
      <c r="G13" s="11">
        <v>63</v>
      </c>
      <c r="H13" s="11">
        <v>43</v>
      </c>
      <c r="I13" s="11">
        <v>32</v>
      </c>
      <c r="J13" s="11">
        <v>4</v>
      </c>
      <c r="K13" s="18">
        <v>10</v>
      </c>
      <c r="M13" s="26">
        <v>111.6</v>
      </c>
      <c r="N13" s="26">
        <v>103.8</v>
      </c>
      <c r="O13" s="26">
        <v>62.672174999999996</v>
      </c>
      <c r="P13" s="10">
        <f>(C24*O13)/B28</f>
        <v>64.313368521847821</v>
      </c>
      <c r="Q13" s="10">
        <f>(((A24*N13)/B27)*P13)/100</f>
        <v>66.123140047454854</v>
      </c>
      <c r="R13" s="10">
        <f>(((M13*B24)/B27)*P13)/100</f>
        <v>65.451681821695658</v>
      </c>
      <c r="S13" s="35">
        <f>(Q13-R13)+2.3</f>
        <v>2.9714582257591955</v>
      </c>
      <c r="T13" s="25" t="s">
        <v>81</v>
      </c>
      <c r="U13" s="35">
        <f>S13-1.036*B29</f>
        <v>-7.2759679624472975</v>
      </c>
      <c r="V13" s="35">
        <f>S13+1.036*B29</f>
        <v>13.218884413965689</v>
      </c>
    </row>
    <row r="14" spans="1:22" ht="16">
      <c r="A14" s="17">
        <v>26</v>
      </c>
      <c r="B14" s="11">
        <v>26</v>
      </c>
      <c r="C14" s="12">
        <v>46071</v>
      </c>
      <c r="D14" s="13"/>
      <c r="E14" s="11" t="s">
        <v>19</v>
      </c>
      <c r="F14" s="11">
        <v>85</v>
      </c>
      <c r="G14" s="11">
        <v>77</v>
      </c>
      <c r="H14" s="11">
        <v>51</v>
      </c>
      <c r="I14" s="11">
        <v>24</v>
      </c>
      <c r="J14" s="11">
        <v>6</v>
      </c>
      <c r="K14" s="18">
        <v>9</v>
      </c>
      <c r="M14" s="26">
        <v>115.4</v>
      </c>
      <c r="N14" s="26">
        <v>91.8</v>
      </c>
      <c r="O14" s="26">
        <v>65.54495</v>
      </c>
      <c r="P14" s="10">
        <f>(C24*O14)/B28</f>
        <v>67.261372755869573</v>
      </c>
      <c r="Q14" s="10">
        <f>(((A24*N14)/B27)*P14)/100</f>
        <v>61.1594070792762</v>
      </c>
      <c r="R14" s="10">
        <f>(((M14*B24)/B27)*P14)/100</f>
        <v>70.782662446674266</v>
      </c>
      <c r="S14" s="35">
        <f>(Q14-R14)+2.3</f>
        <v>-7.3232553673980663</v>
      </c>
      <c r="T14" s="25" t="s">
        <v>81</v>
      </c>
      <c r="U14" s="35">
        <f>S14-1.036*B29</f>
        <v>-17.570681555604558</v>
      </c>
      <c r="V14" s="35">
        <f>S14+1.036*B29</f>
        <v>2.9241708208084267</v>
      </c>
    </row>
    <row r="15" spans="1:22" ht="14">
      <c r="A15" s="17">
        <v>27</v>
      </c>
      <c r="B15" s="11">
        <v>27</v>
      </c>
      <c r="C15" s="12">
        <v>46074</v>
      </c>
      <c r="D15" s="11" t="s">
        <v>43</v>
      </c>
      <c r="E15" s="11" t="s">
        <v>9</v>
      </c>
      <c r="F15" s="11">
        <v>63</v>
      </c>
      <c r="G15" s="11">
        <v>82</v>
      </c>
      <c r="H15" s="11">
        <v>61</v>
      </c>
      <c r="I15" s="11">
        <v>16</v>
      </c>
      <c r="J15" s="11">
        <v>13</v>
      </c>
      <c r="K15" s="18">
        <v>6</v>
      </c>
      <c r="M15" s="26">
        <v>115.3</v>
      </c>
      <c r="N15" s="26">
        <v>100.9</v>
      </c>
      <c r="O15" s="26">
        <v>68.663174999999995</v>
      </c>
      <c r="P15" s="10">
        <f>(C24*O15)/B28</f>
        <v>70.461254578369562</v>
      </c>
      <c r="Q15" s="10">
        <f>(((M15*B24)/B27)*P15)/100</f>
        <v>74.085810720618539</v>
      </c>
      <c r="R15" s="10">
        <f>(((A24*N15)/B27)*P15)/100</f>
        <v>70.42006090881037</v>
      </c>
      <c r="S15" s="35">
        <f>(Q15-R15)+3.2</f>
        <v>6.8657498118081692</v>
      </c>
      <c r="T15" s="25" t="s">
        <v>81</v>
      </c>
      <c r="U15" s="35">
        <f>S15-1.036*B29</f>
        <v>-3.3816763763983237</v>
      </c>
      <c r="V15" s="35">
        <f>S15+1.036*B29</f>
        <v>17.113176000014661</v>
      </c>
    </row>
    <row r="16" spans="1:22" ht="16">
      <c r="A16" s="17">
        <v>28</v>
      </c>
      <c r="B16" s="13"/>
      <c r="C16" s="12">
        <v>46077</v>
      </c>
      <c r="D16" s="11" t="s">
        <v>43</v>
      </c>
      <c r="E16" s="11" t="s">
        <v>12</v>
      </c>
      <c r="F16" s="13"/>
      <c r="G16" s="13"/>
      <c r="H16" s="13"/>
      <c r="I16" s="13"/>
      <c r="J16" s="13"/>
      <c r="K16" s="19"/>
      <c r="M16" s="26">
        <v>108.3</v>
      </c>
      <c r="N16" s="26">
        <v>103.3</v>
      </c>
      <c r="O16" s="26">
        <v>69.715424999999996</v>
      </c>
      <c r="P16" s="10">
        <f>(C25*O16)/B28</f>
        <v>69.39278908567934</v>
      </c>
      <c r="Q16" s="10">
        <f>(((M16*B25)/B27)*P16)/100</f>
        <v>70.998890582289334</v>
      </c>
      <c r="R16" s="10">
        <f>(((A25*N16)/B27)*P16)/100</f>
        <v>74.592154668597274</v>
      </c>
      <c r="S16" s="41">
        <f>(Q16-R16)+2.5</f>
        <v>-1.0932640863079399</v>
      </c>
      <c r="T16" s="25" t="s">
        <v>81</v>
      </c>
      <c r="U16" s="41">
        <f>S16-1.036*B29</f>
        <v>-11.340690274514433</v>
      </c>
      <c r="V16" s="41">
        <f>S16+1.036*B29</f>
        <v>9.1541621018985531</v>
      </c>
    </row>
    <row r="17" spans="1:22" ht="16">
      <c r="A17" s="17">
        <v>29</v>
      </c>
      <c r="B17" s="13"/>
      <c r="C17" s="12">
        <v>46081</v>
      </c>
      <c r="D17" s="13"/>
      <c r="E17" s="11" t="s">
        <v>4</v>
      </c>
      <c r="F17" s="13"/>
      <c r="G17" s="13"/>
      <c r="H17" s="13"/>
      <c r="I17" s="13"/>
      <c r="J17" s="13"/>
      <c r="K17" s="19"/>
      <c r="M17" s="26">
        <v>116.9</v>
      </c>
      <c r="N17" s="26">
        <v>107.9</v>
      </c>
      <c r="O17" s="26">
        <v>65.703800000000001</v>
      </c>
      <c r="P17" s="10">
        <f>(C25*O17)/B28</f>
        <v>65.39972947920289</v>
      </c>
      <c r="Q17" s="10">
        <f>(((A25*N17)/B27)*P17)/100</f>
        <v>73.430398333516592</v>
      </c>
      <c r="R17" s="10">
        <f>(((M17*B25)/B27)*P17)/100</f>
        <v>72.226941653488652</v>
      </c>
      <c r="S17" s="41">
        <f>(Q17-R17)+2.3</f>
        <v>3.5034566800279405</v>
      </c>
      <c r="T17" s="25" t="s">
        <v>81</v>
      </c>
      <c r="U17" s="41">
        <f>S17-1.036*B29</f>
        <v>-6.7439695081785525</v>
      </c>
      <c r="V17" s="41">
        <f>S17+1.036*B29</f>
        <v>13.750882868234434</v>
      </c>
    </row>
    <row r="18" spans="1:22" ht="16">
      <c r="A18" s="17">
        <v>30</v>
      </c>
      <c r="B18" s="13"/>
      <c r="C18" s="12">
        <v>46084</v>
      </c>
      <c r="D18" s="11" t="s">
        <v>43</v>
      </c>
      <c r="E18" s="11" t="s">
        <v>5</v>
      </c>
      <c r="F18" s="13"/>
      <c r="G18" s="13"/>
      <c r="H18" s="13"/>
      <c r="I18" s="13"/>
      <c r="J18" s="13"/>
      <c r="K18" s="19"/>
      <c r="M18" s="26">
        <v>119.6</v>
      </c>
      <c r="N18" s="26">
        <v>97.6</v>
      </c>
      <c r="O18" s="26">
        <v>66.888849999999991</v>
      </c>
      <c r="P18" s="10">
        <f>(C25*O18)/B28</f>
        <v>66.579295188025341</v>
      </c>
      <c r="Q18" s="10">
        <f>(((M18*B25)/B27)*P18)/100</f>
        <v>75.227934133935122</v>
      </c>
      <c r="R18" s="10">
        <f>(((A25*N18)/B27)*P18)/100</f>
        <v>67.618806118076719</v>
      </c>
      <c r="S18" s="41">
        <f>(Q18-R18)+3.8</f>
        <v>11.409128015858403</v>
      </c>
      <c r="T18" s="25" t="s">
        <v>81</v>
      </c>
      <c r="U18" s="41">
        <f>S18-1.036*B29</f>
        <v>1.1617018276519104</v>
      </c>
      <c r="V18" s="41">
        <f>S18+1.036*B29</f>
        <v>21.656554204064896</v>
      </c>
    </row>
    <row r="19" spans="1:22" ht="16">
      <c r="A19" s="20">
        <v>31</v>
      </c>
      <c r="B19" s="21"/>
      <c r="C19" s="22">
        <v>46088</v>
      </c>
      <c r="D19" s="21"/>
      <c r="E19" s="23" t="s">
        <v>20</v>
      </c>
      <c r="F19" s="21"/>
      <c r="G19" s="21"/>
      <c r="H19" s="21"/>
      <c r="I19" s="21"/>
      <c r="J19" s="21"/>
      <c r="K19" s="24"/>
      <c r="M19" s="26">
        <v>117.8</v>
      </c>
      <c r="N19" s="26">
        <v>102.1</v>
      </c>
      <c r="O19" s="26">
        <v>69.373500000000007</v>
      </c>
      <c r="P19" s="10">
        <f>(C25*O19)/B28</f>
        <v>69.052446479891302</v>
      </c>
      <c r="Q19" s="10">
        <f>(((A25*N19)/B27)*P19)/100</f>
        <v>73.364050230088665</v>
      </c>
      <c r="R19" s="10">
        <f>(((M19*B25)/B27)*P19)/100</f>
        <v>76.84809797661768</v>
      </c>
      <c r="S19" s="41">
        <f>(Q19-R19)+2.3</f>
        <v>-1.1840477465290151</v>
      </c>
      <c r="T19" s="25" t="s">
        <v>81</v>
      </c>
      <c r="U19" s="41">
        <f>S19-1.036*B29</f>
        <v>-11.431473934735507</v>
      </c>
      <c r="V19" s="41">
        <f>S19+1.036*B29</f>
        <v>9.0633784416774787</v>
      </c>
    </row>
    <row r="21" spans="1:22" ht="14">
      <c r="A21" s="42" t="s">
        <v>44</v>
      </c>
      <c r="B21" s="43"/>
      <c r="C21" s="7" t="s">
        <v>47</v>
      </c>
      <c r="F21" s="26"/>
      <c r="G21" s="26"/>
      <c r="H21" s="34">
        <v>59.679000000000002</v>
      </c>
      <c r="I21" s="34">
        <v>13.804</v>
      </c>
      <c r="J21" s="34">
        <v>7.9169999999999998</v>
      </c>
      <c r="K21" s="34">
        <v>12.488</v>
      </c>
      <c r="M21" s="32" t="s">
        <v>82</v>
      </c>
    </row>
    <row r="22" spans="1:22">
      <c r="F22" s="26"/>
      <c r="G22" s="26"/>
      <c r="H22" s="34">
        <v>57.113999999999997</v>
      </c>
      <c r="I22" s="34">
        <v>24.792999999999999</v>
      </c>
      <c r="J22" s="34">
        <v>7.5880000000000001</v>
      </c>
      <c r="K22" s="34">
        <v>7.3780000000000001</v>
      </c>
      <c r="M22" s="30">
        <f>(T2-S2)^2</f>
        <v>1.4952104661336503</v>
      </c>
    </row>
    <row r="23" spans="1:22">
      <c r="A23" s="7" t="s">
        <v>67</v>
      </c>
      <c r="B23" s="7" t="s">
        <v>68</v>
      </c>
      <c r="C23" s="7" t="s">
        <v>45</v>
      </c>
      <c r="F23" s="26"/>
      <c r="G23" s="26"/>
      <c r="H23" s="26"/>
      <c r="I23" s="26"/>
      <c r="J23" s="26"/>
      <c r="K23" s="26"/>
      <c r="M23" s="30">
        <f t="shared" ref="M23:M30" si="0">(T3-S3)^2</f>
        <v>19.059771419303065</v>
      </c>
    </row>
    <row r="24" spans="1:22">
      <c r="A24" s="7">
        <v>114.7</v>
      </c>
      <c r="B24">
        <v>105.6</v>
      </c>
      <c r="C24">
        <f>H21-J21+K21+(0.475*I21)</f>
        <v>70.806899999999999</v>
      </c>
      <c r="F24" s="26"/>
      <c r="G24" s="26"/>
      <c r="H24" s="26"/>
      <c r="I24" s="26"/>
      <c r="J24" s="26"/>
      <c r="K24" s="26"/>
      <c r="M24" s="30">
        <f t="shared" si="0"/>
        <v>5.3421613103716359</v>
      </c>
    </row>
    <row r="25" spans="1:22">
      <c r="A25" s="7">
        <v>120.5</v>
      </c>
      <c r="B25">
        <v>109.4</v>
      </c>
      <c r="C25">
        <f>H22-J22+K22+(0.475*I22)</f>
        <v>68.680674999999994</v>
      </c>
      <c r="F25" s="26"/>
      <c r="G25" s="26"/>
      <c r="H25" s="26"/>
      <c r="I25" s="26"/>
      <c r="J25" s="26"/>
      <c r="K25" s="26"/>
      <c r="M25" s="30">
        <f t="shared" si="0"/>
        <v>83.816670501347517</v>
      </c>
    </row>
    <row r="26" spans="1:22">
      <c r="F26" s="26"/>
      <c r="G26" s="26"/>
      <c r="H26" s="26"/>
      <c r="I26" s="26"/>
      <c r="J26" s="26"/>
      <c r="K26" s="26"/>
      <c r="M26" s="30">
        <f t="shared" si="0"/>
        <v>29.723104856568504</v>
      </c>
    </row>
    <row r="27" spans="1:22">
      <c r="A27" s="7" t="s">
        <v>78</v>
      </c>
      <c r="B27" s="7">
        <v>115.8</v>
      </c>
      <c r="E27" s="7"/>
      <c r="F27" s="26"/>
      <c r="G27" s="26"/>
      <c r="H27" s="26"/>
      <c r="I27" s="26"/>
      <c r="J27" s="26"/>
      <c r="K27" s="26"/>
      <c r="M27" s="30">
        <f t="shared" si="0"/>
        <v>37.955929053547784</v>
      </c>
    </row>
    <row r="28" spans="1:22">
      <c r="A28" s="7" t="s">
        <v>79</v>
      </c>
      <c r="B28">
        <v>69</v>
      </c>
      <c r="F28" s="26"/>
      <c r="G28" s="26"/>
      <c r="H28" s="26"/>
      <c r="I28" s="26"/>
      <c r="J28" s="26"/>
      <c r="K28" s="26"/>
      <c r="M28" s="30">
        <f t="shared" si="0"/>
        <v>8.7744730484183742E-2</v>
      </c>
    </row>
    <row r="29" spans="1:22">
      <c r="A29" s="7" t="s">
        <v>84</v>
      </c>
      <c r="B29">
        <v>9.891338019504337</v>
      </c>
      <c r="F29" s="26"/>
      <c r="G29" s="26"/>
      <c r="H29" s="26"/>
      <c r="I29" s="26"/>
      <c r="J29" s="26"/>
      <c r="K29" s="26"/>
      <c r="M29" s="30">
        <f t="shared" si="0"/>
        <v>18.105987233878761</v>
      </c>
    </row>
    <row r="30" spans="1:22">
      <c r="F30" s="26"/>
      <c r="G30" s="26"/>
      <c r="H30" s="26"/>
      <c r="I30" s="26"/>
      <c r="J30" s="26"/>
      <c r="K30" s="26"/>
      <c r="M30" s="31">
        <f t="shared" si="0"/>
        <v>97.559317109507745</v>
      </c>
    </row>
    <row r="31" spans="1:22">
      <c r="F31" s="26"/>
      <c r="G31" s="26"/>
      <c r="H31" s="26"/>
      <c r="I31" s="26"/>
      <c r="J31" s="26"/>
      <c r="K31" s="26"/>
      <c r="L31" s="33" t="s">
        <v>83</v>
      </c>
      <c r="M31" s="29">
        <f>SUM(M22:M30)</f>
        <v>293.14589668114286</v>
      </c>
    </row>
  </sheetData>
  <mergeCells count="1">
    <mergeCell ref="A21:B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DC9D-4390-6C42-A3A7-B60FDFEF11A8}">
  <dimension ref="A1:K21"/>
  <sheetViews>
    <sheetView zoomScale="135" workbookViewId="0">
      <selection activeCell="K29" sqref="K29"/>
    </sheetView>
  </sheetViews>
  <sheetFormatPr baseColWidth="10" defaultRowHeight="13"/>
  <sheetData>
    <row r="1" spans="1:11" ht="14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39</v>
      </c>
      <c r="G1" s="15" t="s">
        <v>40</v>
      </c>
      <c r="H1" s="15" t="s">
        <v>41</v>
      </c>
      <c r="I1" s="16" t="s">
        <v>42</v>
      </c>
    </row>
    <row r="2" spans="1:11" ht="14">
      <c r="A2" s="17">
        <v>13</v>
      </c>
      <c r="B2" s="11">
        <v>13</v>
      </c>
      <c r="C2" s="12">
        <v>46025</v>
      </c>
      <c r="D2" s="11" t="s">
        <v>43</v>
      </c>
      <c r="E2" s="11" t="s">
        <v>49</v>
      </c>
      <c r="F2" s="11">
        <v>59</v>
      </c>
      <c r="G2" s="11">
        <v>18</v>
      </c>
      <c r="H2" s="11">
        <v>11</v>
      </c>
      <c r="I2" s="18">
        <v>11</v>
      </c>
    </row>
    <row r="3" spans="1:11" ht="16">
      <c r="A3" s="17">
        <v>14</v>
      </c>
      <c r="B3" s="11">
        <v>14</v>
      </c>
      <c r="C3" s="12">
        <v>46029</v>
      </c>
      <c r="D3" s="13"/>
      <c r="E3" s="11" t="s">
        <v>50</v>
      </c>
      <c r="F3" s="11">
        <v>62</v>
      </c>
      <c r="G3" s="11">
        <v>29</v>
      </c>
      <c r="H3" s="11">
        <v>20</v>
      </c>
      <c r="I3" s="18">
        <v>14</v>
      </c>
    </row>
    <row r="4" spans="1:11" ht="16">
      <c r="A4" s="17">
        <v>15</v>
      </c>
      <c r="B4" s="11">
        <v>15</v>
      </c>
      <c r="C4" s="12">
        <v>46032</v>
      </c>
      <c r="D4" s="13"/>
      <c r="E4" s="11" t="s">
        <v>51</v>
      </c>
      <c r="F4" s="11">
        <v>41</v>
      </c>
      <c r="G4" s="11">
        <v>31</v>
      </c>
      <c r="H4" s="11">
        <v>7</v>
      </c>
      <c r="I4" s="18">
        <v>16</v>
      </c>
    </row>
    <row r="5" spans="1:11" ht="14">
      <c r="A5" s="17">
        <v>16</v>
      </c>
      <c r="B5" s="11">
        <v>16</v>
      </c>
      <c r="C5" s="12">
        <v>46035</v>
      </c>
      <c r="D5" s="11" t="s">
        <v>43</v>
      </c>
      <c r="E5" s="11" t="s">
        <v>52</v>
      </c>
      <c r="F5" s="11">
        <v>59</v>
      </c>
      <c r="G5" s="11">
        <v>14</v>
      </c>
      <c r="H5" s="11">
        <v>8</v>
      </c>
      <c r="I5" s="18">
        <v>11</v>
      </c>
    </row>
    <row r="6" spans="1:11" ht="14">
      <c r="A6" s="17">
        <v>17</v>
      </c>
      <c r="B6" s="11">
        <v>17</v>
      </c>
      <c r="C6" s="12">
        <v>46038</v>
      </c>
      <c r="D6" s="11" t="s">
        <v>43</v>
      </c>
      <c r="E6" s="11" t="s">
        <v>53</v>
      </c>
      <c r="F6" s="11">
        <v>61</v>
      </c>
      <c r="G6" s="11">
        <v>10</v>
      </c>
      <c r="H6" s="11">
        <v>7</v>
      </c>
      <c r="I6" s="18">
        <v>9</v>
      </c>
    </row>
    <row r="7" spans="1:11" ht="16">
      <c r="A7" s="17">
        <v>18</v>
      </c>
      <c r="B7" s="11">
        <v>18</v>
      </c>
      <c r="C7" s="12">
        <v>46042</v>
      </c>
      <c r="D7" s="13"/>
      <c r="E7" s="11" t="s">
        <v>54</v>
      </c>
      <c r="F7" s="11">
        <v>57</v>
      </c>
      <c r="G7" s="11">
        <v>20</v>
      </c>
      <c r="H7" s="11">
        <v>9</v>
      </c>
      <c r="I7" s="18">
        <v>11</v>
      </c>
    </row>
    <row r="8" spans="1:11" ht="16">
      <c r="A8" s="17">
        <v>19</v>
      </c>
      <c r="B8" s="11">
        <v>19</v>
      </c>
      <c r="C8" s="12">
        <v>46046</v>
      </c>
      <c r="D8" s="13"/>
      <c r="E8" s="11" t="s">
        <v>49</v>
      </c>
      <c r="F8" s="11">
        <v>56</v>
      </c>
      <c r="G8" s="11">
        <v>36</v>
      </c>
      <c r="H8" s="11">
        <v>11</v>
      </c>
      <c r="I8" s="18">
        <v>18</v>
      </c>
    </row>
    <row r="9" spans="1:11" ht="14">
      <c r="A9" s="17">
        <v>20</v>
      </c>
      <c r="B9" s="11">
        <v>20</v>
      </c>
      <c r="C9" s="12">
        <v>46050</v>
      </c>
      <c r="D9" s="11" t="s">
        <v>43</v>
      </c>
      <c r="E9" s="11" t="s">
        <v>55</v>
      </c>
      <c r="F9" s="11">
        <v>65</v>
      </c>
      <c r="G9" s="11">
        <v>9</v>
      </c>
      <c r="H9" s="11">
        <v>9</v>
      </c>
      <c r="I9" s="18">
        <v>10</v>
      </c>
    </row>
    <row r="10" spans="1:11" ht="14">
      <c r="A10" s="17">
        <v>21</v>
      </c>
      <c r="B10" s="11">
        <v>21</v>
      </c>
      <c r="C10" s="12">
        <v>46053</v>
      </c>
      <c r="D10" s="11" t="s">
        <v>43</v>
      </c>
      <c r="E10" s="11" t="s">
        <v>56</v>
      </c>
      <c r="F10" s="11">
        <v>55</v>
      </c>
      <c r="G10" s="11">
        <v>5</v>
      </c>
      <c r="H10" s="11">
        <v>7</v>
      </c>
      <c r="I10" s="18">
        <v>13</v>
      </c>
    </row>
    <row r="11" spans="1:11" ht="16">
      <c r="A11" s="20">
        <v>22</v>
      </c>
      <c r="B11" s="23">
        <v>22</v>
      </c>
      <c r="C11" s="22">
        <v>46057</v>
      </c>
      <c r="D11" s="21"/>
      <c r="E11" s="23" t="s">
        <v>57</v>
      </c>
      <c r="F11" s="23">
        <v>53</v>
      </c>
      <c r="G11" s="23">
        <v>25</v>
      </c>
      <c r="H11" s="23">
        <v>5</v>
      </c>
      <c r="I11" s="37">
        <v>9</v>
      </c>
    </row>
    <row r="13" spans="1:11">
      <c r="A13" s="42" t="s">
        <v>44</v>
      </c>
      <c r="B13" s="43"/>
      <c r="C13" s="7" t="s">
        <v>47</v>
      </c>
      <c r="F13" s="34">
        <v>57.69</v>
      </c>
      <c r="G13" s="34">
        <v>19.507000000000001</v>
      </c>
      <c r="H13" s="34">
        <v>10.468</v>
      </c>
      <c r="I13" s="34">
        <v>11.881</v>
      </c>
    </row>
    <row r="14" spans="1:11">
      <c r="F14" s="26"/>
      <c r="G14" s="26"/>
      <c r="H14" s="26"/>
      <c r="I14" s="26"/>
      <c r="J14" s="26"/>
      <c r="K14" s="26"/>
    </row>
    <row r="15" spans="1:11">
      <c r="A15" s="7" t="s">
        <v>67</v>
      </c>
      <c r="B15" s="7" t="s">
        <v>68</v>
      </c>
      <c r="C15" s="7" t="s">
        <v>45</v>
      </c>
      <c r="F15" s="26"/>
      <c r="G15" s="26"/>
      <c r="H15" s="26"/>
      <c r="I15" s="26"/>
      <c r="J15" s="26"/>
      <c r="K15" s="26"/>
    </row>
    <row r="16" spans="1:11">
      <c r="A16" s="7">
        <v>115.1</v>
      </c>
      <c r="B16">
        <v>102.2</v>
      </c>
      <c r="C16">
        <f>F13-H13+I13+(0.475*G13)</f>
        <v>68.368824999999987</v>
      </c>
      <c r="F16" s="26"/>
      <c r="G16" s="26"/>
      <c r="H16" s="26"/>
      <c r="I16" s="26"/>
      <c r="J16" s="26"/>
      <c r="K16" s="26"/>
    </row>
    <row r="17" spans="1:11">
      <c r="A17" s="7"/>
      <c r="F17" s="26"/>
      <c r="G17" s="26"/>
      <c r="H17" s="26"/>
      <c r="I17" s="26"/>
      <c r="J17" s="26"/>
      <c r="K17" s="26"/>
    </row>
    <row r="18" spans="1:11">
      <c r="F18" s="26"/>
      <c r="G18" s="26"/>
      <c r="H18" s="26"/>
      <c r="I18" s="26"/>
      <c r="J18" s="26"/>
      <c r="K18" s="26"/>
    </row>
    <row r="19" spans="1:11">
      <c r="A19" s="7" t="s">
        <v>88</v>
      </c>
      <c r="B19">
        <v>118.3</v>
      </c>
      <c r="E19" s="7"/>
      <c r="F19" s="26"/>
      <c r="G19" s="26"/>
      <c r="H19" s="26"/>
      <c r="I19" s="26"/>
      <c r="J19" s="26"/>
      <c r="K19" s="26"/>
    </row>
    <row r="20" spans="1:11">
      <c r="A20" s="7" t="s">
        <v>89</v>
      </c>
      <c r="B20">
        <v>72</v>
      </c>
      <c r="F20" s="26"/>
      <c r="G20" s="26"/>
      <c r="H20" s="26"/>
      <c r="I20" s="26"/>
      <c r="J20" s="26"/>
      <c r="K20" s="26"/>
    </row>
    <row r="21" spans="1:11">
      <c r="A21" s="7"/>
      <c r="F21" s="26"/>
      <c r="G21" s="26"/>
      <c r="H21" s="26"/>
      <c r="I21" s="26"/>
      <c r="J21" s="26"/>
      <c r="K21" s="26"/>
    </row>
  </sheetData>
  <mergeCells count="1">
    <mergeCell ref="A13:B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E836-75AF-0246-8B88-05F86862B113}">
  <dimension ref="A1:I20"/>
  <sheetViews>
    <sheetView workbookViewId="0">
      <selection activeCell="Q41" sqref="Q41"/>
    </sheetView>
  </sheetViews>
  <sheetFormatPr baseColWidth="10" defaultRowHeight="13"/>
  <sheetData>
    <row r="1" spans="1:9" ht="14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39</v>
      </c>
      <c r="G1" s="15" t="s">
        <v>40</v>
      </c>
      <c r="H1" s="15" t="s">
        <v>41</v>
      </c>
      <c r="I1" s="16" t="s">
        <v>42</v>
      </c>
    </row>
    <row r="2" spans="1:9" ht="14">
      <c r="A2" s="17">
        <v>13</v>
      </c>
      <c r="B2" s="11">
        <v>13</v>
      </c>
      <c r="C2" s="12">
        <v>46024</v>
      </c>
      <c r="D2" s="11" t="s">
        <v>43</v>
      </c>
      <c r="E2" s="11" t="s">
        <v>58</v>
      </c>
      <c r="F2" s="11">
        <v>52</v>
      </c>
      <c r="G2" s="11">
        <v>23</v>
      </c>
      <c r="H2" s="11">
        <v>10</v>
      </c>
      <c r="I2" s="18">
        <v>10</v>
      </c>
    </row>
    <row r="3" spans="1:9" ht="16">
      <c r="A3" s="17">
        <v>14</v>
      </c>
      <c r="B3" s="11">
        <v>14</v>
      </c>
      <c r="C3" s="12">
        <v>46027</v>
      </c>
      <c r="D3" s="13"/>
      <c r="E3" s="11" t="s">
        <v>59</v>
      </c>
      <c r="F3" s="11">
        <v>57</v>
      </c>
      <c r="G3" s="11">
        <v>13</v>
      </c>
      <c r="H3" s="11">
        <v>3</v>
      </c>
      <c r="I3" s="18">
        <v>8</v>
      </c>
    </row>
    <row r="4" spans="1:9" ht="14">
      <c r="A4" s="17">
        <v>15</v>
      </c>
      <c r="B4" s="11">
        <v>15</v>
      </c>
      <c r="C4" s="12">
        <v>46030</v>
      </c>
      <c r="D4" s="11" t="s">
        <v>43</v>
      </c>
      <c r="E4" s="11" t="s">
        <v>60</v>
      </c>
      <c r="F4" s="11">
        <v>53</v>
      </c>
      <c r="G4" s="11">
        <v>23</v>
      </c>
      <c r="H4" s="11">
        <v>11</v>
      </c>
      <c r="I4" s="18">
        <v>11</v>
      </c>
    </row>
    <row r="5" spans="1:9" ht="14">
      <c r="A5" s="17">
        <v>16</v>
      </c>
      <c r="B5" s="11">
        <v>16</v>
      </c>
      <c r="C5" s="12">
        <v>46033</v>
      </c>
      <c r="D5" s="11" t="s">
        <v>43</v>
      </c>
      <c r="E5" s="11" t="s">
        <v>61</v>
      </c>
      <c r="F5" s="11">
        <v>63</v>
      </c>
      <c r="G5" s="11">
        <v>15</v>
      </c>
      <c r="H5" s="11">
        <v>15</v>
      </c>
      <c r="I5" s="18">
        <v>10</v>
      </c>
    </row>
    <row r="6" spans="1:9" ht="16">
      <c r="A6" s="17">
        <v>17</v>
      </c>
      <c r="B6" s="11">
        <v>17</v>
      </c>
      <c r="C6" s="12">
        <v>46039</v>
      </c>
      <c r="D6" s="13"/>
      <c r="E6" s="11" t="s">
        <v>62</v>
      </c>
      <c r="F6" s="11">
        <v>53</v>
      </c>
      <c r="G6" s="11">
        <v>25</v>
      </c>
      <c r="H6" s="11">
        <v>10</v>
      </c>
      <c r="I6" s="18">
        <v>10</v>
      </c>
    </row>
    <row r="7" spans="1:9" ht="16">
      <c r="A7" s="17">
        <v>18</v>
      </c>
      <c r="B7" s="11">
        <v>18</v>
      </c>
      <c r="C7" s="12">
        <v>46042</v>
      </c>
      <c r="D7" s="13"/>
      <c r="E7" s="11" t="s">
        <v>63</v>
      </c>
      <c r="F7" s="11">
        <f>0.9*65</f>
        <v>58.5</v>
      </c>
      <c r="G7" s="11">
        <f>0.9*18</f>
        <v>16.2</v>
      </c>
      <c r="H7" s="11">
        <f>0.9*10</f>
        <v>9</v>
      </c>
      <c r="I7" s="18">
        <f>0.9*10</f>
        <v>9</v>
      </c>
    </row>
    <row r="8" spans="1:9" ht="14">
      <c r="A8" s="17">
        <v>19</v>
      </c>
      <c r="B8" s="11">
        <v>19</v>
      </c>
      <c r="C8" s="12">
        <v>46045</v>
      </c>
      <c r="D8" s="11" t="s">
        <v>43</v>
      </c>
      <c r="E8" s="11" t="s">
        <v>25</v>
      </c>
      <c r="F8" s="11">
        <v>59</v>
      </c>
      <c r="G8" s="11">
        <v>9</v>
      </c>
      <c r="H8" s="11">
        <v>6</v>
      </c>
      <c r="I8" s="18">
        <v>12</v>
      </c>
    </row>
    <row r="9" spans="1:9" ht="16">
      <c r="A9" s="17">
        <v>20</v>
      </c>
      <c r="B9" s="11">
        <v>20</v>
      </c>
      <c r="C9" s="12">
        <v>46048</v>
      </c>
      <c r="D9" s="13"/>
      <c r="E9" s="11" t="s">
        <v>64</v>
      </c>
      <c r="F9" s="11">
        <v>54</v>
      </c>
      <c r="G9" s="11">
        <v>21</v>
      </c>
      <c r="H9" s="11">
        <v>5</v>
      </c>
      <c r="I9" s="18">
        <v>9</v>
      </c>
    </row>
    <row r="10" spans="1:9" ht="14">
      <c r="A10" s="17">
        <v>21</v>
      </c>
      <c r="B10" s="11">
        <v>21</v>
      </c>
      <c r="C10" s="12">
        <v>46053</v>
      </c>
      <c r="D10" s="11" t="s">
        <v>43</v>
      </c>
      <c r="E10" s="11" t="s">
        <v>65</v>
      </c>
      <c r="F10" s="11">
        <v>69</v>
      </c>
      <c r="G10" s="11">
        <v>18</v>
      </c>
      <c r="H10" s="11">
        <v>9</v>
      </c>
      <c r="I10" s="18">
        <v>6</v>
      </c>
    </row>
    <row r="11" spans="1:9" ht="14">
      <c r="A11" s="20">
        <v>22</v>
      </c>
      <c r="B11" s="23">
        <v>22</v>
      </c>
      <c r="C11" s="22">
        <v>46058</v>
      </c>
      <c r="D11" s="23" t="s">
        <v>43</v>
      </c>
      <c r="E11" s="23" t="s">
        <v>66</v>
      </c>
      <c r="F11" s="23">
        <v>49</v>
      </c>
      <c r="G11" s="23">
        <v>30</v>
      </c>
      <c r="H11" s="23">
        <v>7</v>
      </c>
      <c r="I11" s="37">
        <v>8</v>
      </c>
    </row>
    <row r="13" spans="1:9">
      <c r="A13" s="42" t="s">
        <v>44</v>
      </c>
      <c r="B13" s="43"/>
      <c r="C13" s="7" t="s">
        <v>47</v>
      </c>
      <c r="F13" s="34">
        <v>54.793999999999997</v>
      </c>
      <c r="G13" s="34">
        <v>20.369</v>
      </c>
      <c r="H13" s="34">
        <v>9.2739999999999991</v>
      </c>
      <c r="I13" s="34">
        <v>9.7460000000000004</v>
      </c>
    </row>
    <row r="14" spans="1:9">
      <c r="F14" s="26"/>
      <c r="G14" s="26"/>
      <c r="H14" s="26"/>
      <c r="I14" s="26"/>
    </row>
    <row r="15" spans="1:9">
      <c r="A15" s="7" t="s">
        <v>67</v>
      </c>
      <c r="B15" s="7" t="s">
        <v>68</v>
      </c>
      <c r="C15" s="7" t="s">
        <v>45</v>
      </c>
      <c r="F15" s="26"/>
      <c r="G15" s="26"/>
      <c r="H15" s="26"/>
      <c r="I15" s="26"/>
    </row>
    <row r="16" spans="1:9">
      <c r="A16" s="7">
        <v>126.4</v>
      </c>
      <c r="B16">
        <v>104.6</v>
      </c>
      <c r="C16">
        <f>F13-H13+I13+(0.475*G13)</f>
        <v>64.94127499999999</v>
      </c>
      <c r="F16" s="26"/>
      <c r="G16" s="26"/>
      <c r="H16" s="26"/>
      <c r="I16" s="26"/>
    </row>
    <row r="17" spans="1:9">
      <c r="A17" s="7"/>
      <c r="F17" s="26"/>
      <c r="G17" s="26"/>
      <c r="H17" s="26"/>
      <c r="I17" s="26"/>
    </row>
    <row r="18" spans="1:9">
      <c r="F18" s="26"/>
      <c r="G18" s="26"/>
      <c r="H18" s="26"/>
      <c r="I18" s="26"/>
    </row>
    <row r="19" spans="1:9">
      <c r="A19" s="7" t="s">
        <v>90</v>
      </c>
      <c r="B19">
        <v>118.9</v>
      </c>
      <c r="E19" s="7"/>
      <c r="F19" s="26"/>
      <c r="G19" s="26"/>
      <c r="H19" s="26"/>
      <c r="I19" s="26"/>
    </row>
    <row r="20" spans="1:9">
      <c r="A20" s="7" t="s">
        <v>91</v>
      </c>
      <c r="B20">
        <v>67.5</v>
      </c>
      <c r="F20" s="26"/>
      <c r="G20" s="26"/>
      <c r="H20" s="26"/>
      <c r="I20" s="26"/>
    </row>
  </sheetData>
  <mergeCells count="1">
    <mergeCell ref="A13:B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CAD6-D038-F54E-9354-D00086534CDF}">
  <dimension ref="A1:I20"/>
  <sheetViews>
    <sheetView workbookViewId="0">
      <selection activeCell="Q40" sqref="Q40"/>
    </sheetView>
  </sheetViews>
  <sheetFormatPr baseColWidth="10" defaultRowHeight="13"/>
  <sheetData>
    <row r="1" spans="1:9" ht="14">
      <c r="A1" s="14" t="s">
        <v>36</v>
      </c>
      <c r="B1" s="15" t="s">
        <v>37</v>
      </c>
      <c r="C1" s="15" t="s">
        <v>0</v>
      </c>
      <c r="D1" s="15"/>
      <c r="E1" s="15" t="s">
        <v>38</v>
      </c>
      <c r="F1" s="15" t="s">
        <v>39</v>
      </c>
      <c r="G1" s="15" t="s">
        <v>40</v>
      </c>
      <c r="H1" s="15" t="s">
        <v>41</v>
      </c>
      <c r="I1" s="16" t="s">
        <v>42</v>
      </c>
    </row>
    <row r="2" spans="1:9" ht="16">
      <c r="A2" s="17">
        <v>13</v>
      </c>
      <c r="B2" s="11">
        <v>13</v>
      </c>
      <c r="C2" s="12">
        <v>46024</v>
      </c>
      <c r="D2" s="13"/>
      <c r="E2" s="11" t="s">
        <v>69</v>
      </c>
      <c r="F2" s="11">
        <v>65</v>
      </c>
      <c r="G2" s="11">
        <v>39</v>
      </c>
      <c r="H2" s="11">
        <v>10</v>
      </c>
      <c r="I2" s="18">
        <v>11</v>
      </c>
    </row>
    <row r="3" spans="1:9" ht="14">
      <c r="A3" s="17">
        <v>14</v>
      </c>
      <c r="B3" s="11">
        <v>14</v>
      </c>
      <c r="C3" s="12">
        <v>46028</v>
      </c>
      <c r="D3" s="11" t="s">
        <v>43</v>
      </c>
      <c r="E3" s="11" t="s">
        <v>64</v>
      </c>
      <c r="F3" s="11">
        <v>57</v>
      </c>
      <c r="G3" s="11">
        <v>19</v>
      </c>
      <c r="H3" s="11">
        <v>7</v>
      </c>
      <c r="I3" s="18">
        <v>12</v>
      </c>
    </row>
    <row r="4" spans="1:9" ht="16">
      <c r="A4" s="17">
        <v>15</v>
      </c>
      <c r="B4" s="11">
        <v>15</v>
      </c>
      <c r="C4" s="12">
        <v>46032</v>
      </c>
      <c r="D4" s="13"/>
      <c r="E4" s="11" t="s">
        <v>65</v>
      </c>
      <c r="F4" s="11">
        <v>62</v>
      </c>
      <c r="G4" s="11">
        <v>24</v>
      </c>
      <c r="H4" s="11">
        <v>6</v>
      </c>
      <c r="I4" s="18">
        <v>9</v>
      </c>
    </row>
    <row r="5" spans="1:9" ht="14">
      <c r="A5" s="17">
        <v>16</v>
      </c>
      <c r="B5" s="11">
        <v>16</v>
      </c>
      <c r="C5" s="12">
        <v>46036</v>
      </c>
      <c r="D5" s="11" t="s">
        <v>43</v>
      </c>
      <c r="E5" s="11" t="s">
        <v>61</v>
      </c>
      <c r="F5" s="11">
        <v>69</v>
      </c>
      <c r="G5" s="11">
        <v>17</v>
      </c>
      <c r="H5" s="11">
        <v>12</v>
      </c>
      <c r="I5" s="18">
        <v>8</v>
      </c>
    </row>
    <row r="6" spans="1:9" ht="14">
      <c r="A6" s="17">
        <v>17</v>
      </c>
      <c r="B6" s="11">
        <v>17</v>
      </c>
      <c r="C6" s="12">
        <v>46039</v>
      </c>
      <c r="D6" s="11" t="s">
        <v>43</v>
      </c>
      <c r="E6" s="11" t="s">
        <v>60</v>
      </c>
      <c r="F6" s="11">
        <v>51</v>
      </c>
      <c r="G6" s="11">
        <v>30</v>
      </c>
      <c r="H6" s="11">
        <v>8</v>
      </c>
      <c r="I6" s="18">
        <v>14</v>
      </c>
    </row>
    <row r="7" spans="1:9" ht="16">
      <c r="A7" s="17">
        <v>18</v>
      </c>
      <c r="B7" s="11">
        <v>18</v>
      </c>
      <c r="C7" s="12">
        <v>46042</v>
      </c>
      <c r="D7" s="13"/>
      <c r="E7" s="11" t="s">
        <v>70</v>
      </c>
      <c r="F7" s="11">
        <v>53</v>
      </c>
      <c r="G7" s="11">
        <v>33</v>
      </c>
      <c r="H7" s="11">
        <v>11</v>
      </c>
      <c r="I7" s="18">
        <v>13</v>
      </c>
    </row>
    <row r="8" spans="1:9" ht="16">
      <c r="A8" s="17">
        <v>19</v>
      </c>
      <c r="B8" s="11">
        <v>19</v>
      </c>
      <c r="C8" s="12">
        <v>46045</v>
      </c>
      <c r="D8" s="13"/>
      <c r="E8" s="11" t="s">
        <v>24</v>
      </c>
      <c r="F8" s="11">
        <v>52</v>
      </c>
      <c r="G8" s="11">
        <v>25</v>
      </c>
      <c r="H8" s="11">
        <v>12</v>
      </c>
      <c r="I8" s="18">
        <v>14</v>
      </c>
    </row>
    <row r="9" spans="1:9" ht="16">
      <c r="A9" s="17">
        <v>20</v>
      </c>
      <c r="B9" s="11">
        <v>20</v>
      </c>
      <c r="C9" s="12">
        <v>46049</v>
      </c>
      <c r="D9" s="13"/>
      <c r="E9" s="11" t="s">
        <v>59</v>
      </c>
      <c r="F9" s="11">
        <v>53</v>
      </c>
      <c r="G9" s="11">
        <v>23</v>
      </c>
      <c r="H9" s="11">
        <v>8</v>
      </c>
      <c r="I9" s="18">
        <v>19</v>
      </c>
    </row>
    <row r="10" spans="1:9" ht="14">
      <c r="A10" s="17">
        <v>21</v>
      </c>
      <c r="B10" s="11">
        <v>21</v>
      </c>
      <c r="C10" s="12">
        <v>46052</v>
      </c>
      <c r="D10" s="11" t="s">
        <v>43</v>
      </c>
      <c r="E10" s="11" t="s">
        <v>71</v>
      </c>
      <c r="F10" s="11">
        <v>59</v>
      </c>
      <c r="G10" s="11">
        <v>26</v>
      </c>
      <c r="H10" s="11">
        <v>8</v>
      </c>
      <c r="I10" s="18">
        <v>12</v>
      </c>
    </row>
    <row r="11" spans="1:9" ht="16">
      <c r="A11" s="20">
        <v>22</v>
      </c>
      <c r="B11" s="23">
        <v>22</v>
      </c>
      <c r="C11" s="22">
        <v>46058</v>
      </c>
      <c r="D11" s="21"/>
      <c r="E11" s="23" t="s">
        <v>64</v>
      </c>
      <c r="F11" s="23">
        <v>66</v>
      </c>
      <c r="G11" s="23">
        <v>17</v>
      </c>
      <c r="H11" s="23">
        <v>9</v>
      </c>
      <c r="I11" s="37">
        <v>9</v>
      </c>
    </row>
    <row r="13" spans="1:9">
      <c r="A13" s="42" t="s">
        <v>44</v>
      </c>
      <c r="B13" s="43"/>
      <c r="C13" s="7" t="s">
        <v>47</v>
      </c>
      <c r="F13" s="34">
        <v>61.213000000000001</v>
      </c>
      <c r="G13" s="34">
        <v>31.134</v>
      </c>
      <c r="H13" s="34">
        <v>9.4390000000000001</v>
      </c>
      <c r="I13" s="34">
        <v>11.558</v>
      </c>
    </row>
    <row r="14" spans="1:9">
      <c r="F14" s="26"/>
      <c r="G14" s="26"/>
      <c r="H14" s="26"/>
      <c r="I14" s="26"/>
    </row>
    <row r="15" spans="1:9">
      <c r="A15" s="7" t="s">
        <v>67</v>
      </c>
      <c r="B15" s="7" t="s">
        <v>68</v>
      </c>
      <c r="C15" s="7" t="s">
        <v>45</v>
      </c>
      <c r="F15" s="26"/>
      <c r="G15" s="26"/>
      <c r="H15" s="26"/>
      <c r="I15" s="26"/>
    </row>
    <row r="16" spans="1:9">
      <c r="A16" s="7">
        <v>127.4</v>
      </c>
      <c r="B16">
        <v>94.7</v>
      </c>
      <c r="C16">
        <f>F13-H13+I13+(0.475*G13)</f>
        <v>78.120649999999998</v>
      </c>
      <c r="F16" s="26"/>
      <c r="G16" s="26"/>
      <c r="H16" s="26"/>
      <c r="I16" s="26"/>
    </row>
    <row r="17" spans="1:9">
      <c r="A17" s="7"/>
      <c r="F17" s="26"/>
      <c r="G17" s="26"/>
      <c r="H17" s="26"/>
      <c r="I17" s="26"/>
    </row>
    <row r="18" spans="1:9">
      <c r="F18" s="26"/>
      <c r="G18" s="26"/>
      <c r="H18" s="26"/>
      <c r="I18" s="26"/>
    </row>
    <row r="19" spans="1:9">
      <c r="A19" s="7" t="s">
        <v>90</v>
      </c>
      <c r="B19">
        <v>118.9</v>
      </c>
      <c r="E19" s="7"/>
      <c r="F19" s="26"/>
      <c r="G19" s="26"/>
      <c r="H19" s="26"/>
      <c r="I19" s="26"/>
    </row>
    <row r="20" spans="1:9">
      <c r="A20" s="7" t="s">
        <v>91</v>
      </c>
      <c r="B20">
        <v>67.5</v>
      </c>
      <c r="F20" s="26"/>
      <c r="G20" s="26"/>
      <c r="H20" s="26"/>
      <c r="I20" s="26"/>
    </row>
  </sheetData>
  <mergeCells count="1"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Final Predictions</vt:lpstr>
      <vt:lpstr>Parameters</vt:lpstr>
      <vt:lpstr>BC</vt:lpstr>
      <vt:lpstr>Cal</vt:lpstr>
      <vt:lpstr>Clemson</vt:lpstr>
      <vt:lpstr>Duke</vt:lpstr>
      <vt:lpstr>FSU</vt:lpstr>
      <vt:lpstr>GT</vt:lpstr>
      <vt:lpstr>Louisville</vt:lpstr>
      <vt:lpstr>Miami</vt:lpstr>
      <vt:lpstr>UNC</vt:lpstr>
      <vt:lpstr>NC State</vt:lpstr>
      <vt:lpstr>Notre Dame</vt:lpstr>
      <vt:lpstr>Pitt</vt:lpstr>
      <vt:lpstr>SMU</vt:lpstr>
      <vt:lpstr>Stanford</vt:lpstr>
      <vt:lpstr>Syracuse</vt:lpstr>
      <vt:lpstr>Virginia</vt:lpstr>
      <vt:lpstr>VT</vt:lpstr>
      <vt:lpstr>Wake</vt:lpstr>
      <vt:lpstr>Baylor</vt:lpstr>
      <vt:lpstr>OSU</vt:lpstr>
      <vt:lpstr>UMich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Reed, Aaron Joseph</cp:lastModifiedBy>
  <dcterms:created xsi:type="dcterms:W3CDTF">2026-01-19T21:29:56Z</dcterms:created>
  <dcterms:modified xsi:type="dcterms:W3CDTF">2026-10-16T21:47:52Z</dcterms:modified>
</cp:coreProperties>
</file>